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Übersicht" sheetId="1" r:id="rId1"/>
    <sheet name="Budget" sheetId="2" r:id="rId2"/>
    <sheet name="Jahresplan" sheetId="3" r:id="rId3"/>
    <sheet name="Ist-Vergleich" sheetId="4" r:id="rId4"/>
    <sheet name="Anleitung" sheetId="5" r:id="rId5"/>
    <sheet name="Listen" sheetId="6" state="hidden" r:id="rId6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#,##0;(#,##0);&quot;-&quot;"/>
    <numFmt numFmtId="166" formatCode="0.0%;(0.0%);&quot;-&quot;"/>
    <numFmt numFmtId="167" formatCode="0.0000"/>
  </numFmts>
  <fonts count="12">
    <font>
      <sz val="10"/>
      <name val="Arial"/>
      <family val="2"/>
    </font>
    <font>
      <b/>
      <sz val="16"/>
      <color rgb="FF1C6A4F"/>
      <name val="Arial"/>
      <family val="2"/>
    </font>
    <font>
      <i/>
      <sz val="10"/>
      <color rgb="FF6F7D75"/>
      <name val="Arial"/>
      <family val="2"/>
    </font>
    <font>
      <sz val="10"/>
      <color rgb="FF6F7D75"/>
      <name val="Arial"/>
      <family val="2"/>
    </font>
    <font>
      <b/>
      <sz val="10"/>
      <color rgb="FFFFFFFF"/>
      <name val="Arial"/>
      <family val="2"/>
    </font>
    <font>
      <b/>
      <sz val="11"/>
      <color rgb="FF1D2620"/>
      <name val="Arial"/>
      <family val="2"/>
    </font>
    <font>
      <sz val="8"/>
      <color rgb="FF9AA39C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4"/>
      <color rgb="FF1C6A4F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C6A4F"/>
        <bgColor indexed="64"/>
      </patternFill>
    </fill>
    <fill>
      <patternFill patternType="solid">
        <fgColor rgb="FFDCEBE2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C9C2B2"/>
      </left>
      <right style="thin">
        <color rgb="FFC9C2B2"/>
      </right>
      <top style="thin">
        <color rgb="FFC9C2B2"/>
      </top>
      <bottom style="thin">
        <color rgb="FFC9C2B2"/>
      </bottom>
      <diagonal/>
    </border>
    <border>
      <left/>
      <right/>
      <top style="medium">
        <color rgb="FF1C6A4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5" fillId="3" borderId="0" xfId="0" applyFont="1" applyFill="1"/>
    <xf numFmtId="0" fontId="0" fillId="3" borderId="0" xfId="0" applyFont="1" applyFill="1"/>
    <xf numFmtId="0" fontId="6" fillId="0" borderId="0" xfId="0" applyFont="1"/>
    <xf numFmtId="0" fontId="0" fillId="0" borderId="0" xfId="0" applyFont="1"/>
    <xf numFmtId="0" fontId="7" fillId="0" borderId="0" xfId="0" applyFont="1"/>
    <xf numFmtId="0" fontId="8" fillId="4" borderId="1" xfId="0" applyFont="1" applyFill="1" applyBorder="1"/>
    <xf numFmtId="164" fontId="8" fillId="4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164" fontId="0" fillId="0" borderId="0" xfId="0" applyNumberFormat="1" applyFont="1"/>
    <xf numFmtId="165" fontId="0" fillId="0" borderId="0" xfId="0" applyNumberFormat="1" applyFont="1"/>
    <xf numFmtId="164" fontId="7" fillId="0" borderId="0" xfId="0" applyNumberFormat="1" applyFont="1"/>
    <xf numFmtId="164" fontId="7" fillId="0" borderId="2" xfId="0" applyNumberFormat="1" applyFont="1" applyBorder="1"/>
    <xf numFmtId="0" fontId="7" fillId="0" borderId="2" xfId="0" applyFont="1" applyBorder="1"/>
    <xf numFmtId="166" fontId="0" fillId="0" borderId="0" xfId="0" applyNumberFormat="1" applyFont="1"/>
    <xf numFmtId="166" fontId="7" fillId="0" borderId="0" xfId="0" applyNumberFormat="1" applyFont="1"/>
    <xf numFmtId="165" fontId="9" fillId="0" borderId="0" xfId="0" applyNumberFormat="1" applyFont="1"/>
    <xf numFmtId="0" fontId="10" fillId="0" borderId="0" xfId="0" applyFont="1"/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0" fillId="0" borderId="1" xfId="0" applyNumberFormat="1" applyFont="1" applyBorder="1"/>
    <xf numFmtId="0" fontId="2" fillId="3" borderId="0" xfId="0" applyFont="1" applyFill="1"/>
    <xf numFmtId="164" fontId="11" fillId="0" borderId="2" xfId="0" applyNumberFormat="1" applyFont="1" applyBorder="1"/>
    <xf numFmtId="164" fontId="2" fillId="0" borderId="0" xfId="0" applyNumberFormat="1" applyFont="1"/>
    <xf numFmtId="167" fontId="0" fillId="0" borderId="0" xfId="0" applyNumberFormat="1" applyFont="1"/>
  </cellXfs>
  <cellStyles count="1">
    <cellStyle name="Standard" xfId="0" builtinId="0"/>
  </cellStyles>
  <dxfs count="2">
    <dxf>
      <font>
        <b/>
        <color rgb="FF006100"/>
      </font>
    </dxf>
    <dxf>
      <font>
        <b/>
        <color rgb="FFC00000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98A1A"/>
    <pageSetUpPr fitToPage="1"/>
  </sheetPr>
  <dimension ref="A1:G38"/>
  <sheetViews>
    <sheetView workbookViewId="0" showGridLines="0" tabSelected="1"/>
  </sheetViews>
  <sheetFormatPr defaultRowHeight="15"/>
  <cols>
    <col min="1" max="1" width="3" customWidth="1"/>
    <col min="2" max="2" width="46" customWidth="1"/>
    <col min="3" max="3" width="15" customWidth="1"/>
    <col min="4" max="4" width="15" customWidth="1"/>
    <col min="5" max="5" width="17" customWidth="1"/>
    <col min="6" max="6" width="3" customWidth="1"/>
    <col min="7" max="7" width="46" customWidth="1"/>
  </cols>
  <sheetData>
    <row r="1" ht="24" customHeight="1">
      <c r="B1" s="1" t="inlineStr">
        <is>
          <t xml:space="preserve">Budget-Übersicht Simon &amp; Eliana</t>
        </is>
      </c>
    </row>
    <row r="2">
      <c r="B2" s="2" t="inlineStr">
        <is>
          <t xml:space="preserve">Alles pro Monat in CHF · rechnet aus dem Blatt «Budget» · Stand 13.10.2026</t>
        </is>
      </c>
    </row>
    <row r="4">
      <c r="B4" s="10" t="inlineStr">
        <is>
          <t xml:space="preserve">Gemeinsame Kosten teilen</t>
        </is>
      </c>
      <c r="C4" s="11" t="inlineStr">
        <is>
          <t xml:space="preserve">nach Einkommen</t>
        </is>
      </c>
      <c r="G4" s="3" t="inlineStr">
        <is>
          <t xml:space="preserve">«nach Einkommen»: wer mehr verdient, trägt mehr. «50 / 50»: hälftig.</t>
        </is>
      </c>
    </row>
    <row r="6">
      <c r="B6" s="4" t="inlineStr">
        <is>
          <t xml:space="preserve">Bereich</t>
        </is>
      </c>
      <c r="C6" s="5" t="inlineStr">
        <is>
          <t xml:space="preserve">Pro Monat</t>
        </is>
      </c>
      <c r="D6" s="5" t="inlineStr">
        <is>
          <t xml:space="preserve">Pro Jahr</t>
        </is>
      </c>
      <c r="E6" s="5" t="inlineStr">
        <is>
          <t xml:space="preserve">% Einnahmen</t>
        </is>
      </c>
    </row>
    <row r="7">
      <c r="B7" s="22" t="inlineStr">
        <is>
          <t xml:space="preserve">Einnahmen</t>
        </is>
      </c>
      <c r="C7" s="16">
        <f>SUMIFS(Budget!$G$5:$G$300,Budget!$A$5:$A$300,"Einnahmen")</f>
      </c>
      <c r="D7" s="16">
        <f>C7*12</f>
      </c>
      <c r="E7" s="20">
        <f>IF($C$7=0,0,C7/$C$7)</f>
      </c>
      <c r="G7" s="3" t="inlineStr">
        <is>
          <t xml:space="preserve">Rechnet automatisch: jährliche Beträge ÷ 12, vierteljährliche ÷ 3, wöchentliche × 52 ÷ 12.</t>
        </is>
      </c>
    </row>
    <row r="8">
      <c r="B8" s="9" t="inlineStr">
        <is>
          <t xml:space="preserve">Wohnen &amp; Energie</t>
        </is>
      </c>
      <c r="C8" s="14">
        <f>SUMIFS(Budget!$G$5:$G$300,Budget!$A$5:$A$300,B8)</f>
      </c>
      <c r="D8" s="14">
        <f>C8*12</f>
      </c>
      <c r="E8" s="19">
        <f>IF($C$7=0,0,C8/$C$7)</f>
      </c>
    </row>
    <row r="9">
      <c r="B9" s="9" t="inlineStr">
        <is>
          <t xml:space="preserve">Versicherungen</t>
        </is>
      </c>
      <c r="C9" s="14">
        <f>SUMIFS(Budget!$G$5:$G$300,Budget!$A$5:$A$300,B9)</f>
      </c>
      <c r="D9" s="14">
        <f>C9*12</f>
      </c>
      <c r="E9" s="19">
        <f>IF($C$7=0,0,C9/$C$7)</f>
      </c>
    </row>
    <row r="10">
      <c r="B10" s="9" t="inlineStr">
        <is>
          <t xml:space="preserve">Steuern</t>
        </is>
      </c>
      <c r="C10" s="14">
        <f>SUMIFS(Budget!$G$5:$G$300,Budget!$A$5:$A$300,B10)</f>
      </c>
      <c r="D10" s="14">
        <f>C10*12</f>
      </c>
      <c r="E10" s="19">
        <f>IF($C$7=0,0,C10/$C$7)</f>
      </c>
    </row>
    <row r="11">
      <c r="B11" s="9" t="inlineStr">
        <is>
          <t xml:space="preserve">Mobilität</t>
        </is>
      </c>
      <c r="C11" s="14">
        <f>SUMIFS(Budget!$G$5:$G$300,Budget!$A$5:$A$300,B11)</f>
      </c>
      <c r="D11" s="14">
        <f>C11*12</f>
      </c>
      <c r="E11" s="19">
        <f>IF($C$7=0,0,C11/$C$7)</f>
      </c>
    </row>
    <row r="12">
      <c r="B12" s="9" t="inlineStr">
        <is>
          <t xml:space="preserve">Haushalt &amp; Essen</t>
        </is>
      </c>
      <c r="C12" s="14">
        <f>SUMIFS(Budget!$G$5:$G$300,Budget!$A$5:$A$300,B12)</f>
      </c>
      <c r="D12" s="14">
        <f>C12*12</f>
      </c>
      <c r="E12" s="19">
        <f>IF($C$7=0,0,C12/$C$7)</f>
      </c>
    </row>
    <row r="13">
      <c r="B13" s="9" t="inlineStr">
        <is>
          <t xml:space="preserve">Persönliches &amp; Freizeit</t>
        </is>
      </c>
      <c r="C13" s="14">
        <f>SUMIFS(Budget!$G$5:$G$300,Budget!$A$5:$A$300,B13)</f>
      </c>
      <c r="D13" s="14">
        <f>C13*12</f>
      </c>
      <c r="E13" s="19">
        <f>IF($C$7=0,0,C13/$C$7)</f>
      </c>
    </row>
    <row r="14">
      <c r="B14" s="9" t="inlineStr">
        <is>
          <t xml:space="preserve">Rückstellungen</t>
        </is>
      </c>
      <c r="C14" s="14">
        <f>SUMIFS(Budget!$G$5:$G$300,Budget!$A$5:$A$300,B14)</f>
      </c>
      <c r="D14" s="14">
        <f>C14*12</f>
      </c>
      <c r="E14" s="19">
        <f>IF($C$7=0,0,C14/$C$7)</f>
      </c>
    </row>
    <row r="15">
      <c r="B15" s="18" t="inlineStr">
        <is>
          <t xml:space="preserve">Ausgaben total</t>
        </is>
      </c>
      <c r="C15" s="17">
        <f>SUM(C8:C14)</f>
      </c>
      <c r="D15" s="17">
        <f>C15*12</f>
      </c>
      <c r="E15" s="20">
        <f>IF($C$7=0,0,C15/$C$7)</f>
      </c>
    </row>
    <row r="16">
      <c r="B16" s="9" t="inlineStr">
        <is>
          <t xml:space="preserve">Sparen &amp; Vorsorge</t>
        </is>
      </c>
      <c r="C16" s="14">
        <f>SUMIFS(Budget!$G$5:$G$300,Budget!$A$5:$A$300,B16)</f>
      </c>
      <c r="D16" s="14">
        <f>C16*12</f>
      </c>
      <c r="E16" s="19">
        <f>IF($C$7=0,0,C16/$C$7)</f>
      </c>
    </row>
    <row r="17">
      <c r="B17" s="18" t="inlineStr">
        <is>
          <t xml:space="preserve">Übrig pro Monat</t>
        </is>
      </c>
      <c r="C17" s="27">
        <f>C7-C15-C16</f>
      </c>
      <c r="D17" s="17">
        <f>C17*12</f>
      </c>
      <c r="E17" s="20">
        <f>IF($C$7=0,0,C17/$C$7)</f>
      </c>
      <c r="G17" s="3" t="inlineStr">
        <is>
          <t xml:space="preserve">Positiv = Reserve oder zusätzlich sparen. Negativ (rot) = Budget geht nicht auf.</t>
        </is>
      </c>
    </row>
    <row r="21">
      <c r="B21" s="4" t="inlineStr">
        <is>
          <t xml:space="preserve">Wer zahlt was</t>
        </is>
      </c>
      <c r="C21" s="5" t="inlineStr">
        <is>
          <t xml:space="preserve">Simon</t>
        </is>
      </c>
      <c r="D21" s="5" t="inlineStr">
        <is>
          <t xml:space="preserve">Eliana</t>
        </is>
      </c>
      <c r="E21" s="5" t="inlineStr">
        <is>
          <t xml:space="preserve">Zusammen</t>
        </is>
      </c>
    </row>
    <row r="22">
      <c r="B22" s="9" t="inlineStr">
        <is>
          <t xml:space="preserve">Einnahmen</t>
        </is>
      </c>
      <c r="C22" s="14">
        <f>SUMIFS(Budget!$G$5:$G$300,Budget!$A$5:$A$300,"Einnahmen",Budget!$E$5:$E$300,"Simon")+SUMIFS(Budget!$G$5:$G$300,Budget!$A$5:$A$300,"Einnahmen",Budget!$E$5:$E$300,"gemeinsam")/2</f>
      </c>
      <c r="D22" s="14">
        <f>SUMIFS(Budget!$G$5:$G$300,Budget!$A$5:$A$300,"Einnahmen",Budget!$E$5:$E$300,"Eliana")+SUMIFS(Budget!$G$5:$G$300,Budget!$A$5:$A$300,"Einnahmen",Budget!$E$5:$E$300,"gemeinsam")/2</f>
      </c>
      <c r="E22" s="14">
        <f>C22+D22</f>
      </c>
    </row>
    <row r="23">
      <c r="B23" s="9" t="inlineStr">
        <is>
          <t xml:space="preserve">Gemeinsame Kosten (inkl. Rückstellungen und Sparen)</t>
        </is>
      </c>
      <c r="E23" s="14">
        <f>SUMIFS(Budget!$G$5:$G$300,Budget!$A$5:$A$300,"&lt;&gt;Einnahmen",Budget!$E$5:$E$300,"gemeinsam")</f>
      </c>
      <c r="G23" s="3" t="inlineStr">
        <is>
          <t xml:space="preserve">Alle Posten mit «Wer = gemeinsam» ausser Einnahmen.</t>
        </is>
      </c>
    </row>
    <row r="24">
      <c r="B24" s="9" t="inlineStr">
        <is>
          <t xml:space="preserve">Anteil an den gemeinsamen Kosten</t>
        </is>
      </c>
      <c r="C24" s="19">
        <f>IF($C$4="50 / 50",0.5,IF(E22=0,0.5,C22/E22))</f>
      </c>
      <c r="D24" s="19">
        <f>1-C24</f>
      </c>
      <c r="E24" s="19">
        <f>C24+D24</f>
      </c>
      <c r="G24" s="3" t="inlineStr">
        <is>
          <t xml:space="preserve">Gemeinsame Einnahmen (z. B. Bonus) zählen je zur Hälfte.</t>
        </is>
      </c>
    </row>
    <row r="25">
      <c r="B25" s="9" t="inlineStr">
        <is>
          <t xml:space="preserve">Anteil gemeinsame Kosten in CHF</t>
        </is>
      </c>
      <c r="C25" s="14">
        <f>$E$23*C24</f>
      </c>
      <c r="D25" s="14">
        <f>$E$23*D24</f>
      </c>
      <c r="E25" s="14">
        <f>C25+D25</f>
      </c>
    </row>
    <row r="26">
      <c r="B26" s="9" t="inlineStr">
        <is>
          <t xml:space="preserve">Eigene Kosten</t>
        </is>
      </c>
      <c r="C26" s="14">
        <f>SUMIFS(Budget!$G$5:$G$300,Budget!$A$5:$A$300,"&lt;&gt;Einnahmen",Budget!$E$5:$E$300,"Simon")</f>
      </c>
      <c r="D26" s="14">
        <f>SUMIFS(Budget!$G$5:$G$300,Budget!$A$5:$A$300,"&lt;&gt;Einnahmen",Budget!$E$5:$E$300,"Eliana")</f>
      </c>
      <c r="E26" s="14">
        <f>C26+D26</f>
      </c>
    </row>
    <row r="27">
      <c r="B27" s="18" t="inlineStr">
        <is>
          <t xml:space="preserve">Frei verfügbar</t>
        </is>
      </c>
      <c r="C27" s="17">
        <f>C22-C25-C26</f>
      </c>
      <c r="D27" s="17">
        <f>D22-D25-D26</f>
      </c>
      <c r="E27" s="17">
        <f>C27+D27</f>
      </c>
    </row>
    <row r="28">
      <c r="B28" s="10" t="inlineStr">
        <is>
          <t xml:space="preserve">Aufs gemeinsame Konto, pro Monat (auf 5 Rp.)</t>
        </is>
      </c>
      <c r="C28" s="16">
        <f>MROUND(C25,0.05)</f>
      </c>
      <c r="D28" s="16">
        <f>MROUND(D25,0.05)</f>
      </c>
      <c r="E28" s="16">
        <f>C28+D28</f>
      </c>
    </row>
    <row r="31">
      <c r="B31" s="4" t="inlineStr">
        <is>
          <t xml:space="preserve">Faustregeln (grobe Richtwerte)</t>
        </is>
      </c>
      <c r="C31" s="5" t="inlineStr">
        <is>
          <t xml:space="preserve">Wert</t>
        </is>
      </c>
      <c r="D31" s="5" t="inlineStr">
        <is>
          <t xml:space="preserve">Ziel</t>
        </is>
      </c>
      <c r="E31" s="4" t="inlineStr">
        <is>
          <t xml:space="preserve">Status</t>
        </is>
      </c>
    </row>
    <row r="32">
      <c r="B32" s="9" t="inlineStr">
        <is>
          <t xml:space="preserve">Miete im Verhältnis zu den Einnahmen</t>
        </is>
      </c>
      <c r="C32" s="19">
        <f>IF($C$7=0,0,SUMIFS(Budget!$G$5:$G$300,Budget!$B$5:$B$300,"*Miete*")/$C$7)</f>
      </c>
      <c r="D32" s="19">
        <f>1/3</f>
      </c>
      <c r="E32" s="10" t="str">
        <f>IF(C32&lt;=D32,"✓ erfüllt","✗ zu hoch")</f>
      </c>
      <c r="G32" s="3" t="inlineStr">
        <is>
          <t xml:space="preserve">Faustregel: Miete höchstens ein Drittel des Nettoeinkommens.</t>
        </is>
      </c>
    </row>
    <row r="33">
      <c r="B33" s="9" t="inlineStr">
        <is>
          <t xml:space="preserve">Sparquote</t>
        </is>
      </c>
      <c r="C33" s="19">
        <f>IF($C$7=0,0,C16/$C$7)</f>
      </c>
      <c r="D33" s="19">
        <v>0.1</v>
      </c>
      <c r="E33" s="10" t="str">
        <f>IF(C33&gt;=D33,"✓ erfüllt","✗ zu tief")</f>
      </c>
      <c r="G33" s="3" t="inlineStr">
        <is>
          <t xml:space="preserve">Faustregel: mindestens 10 % der Einnahmen sparen.</t>
        </is>
      </c>
    </row>
    <row r="34">
      <c r="B34" s="9" t="inlineStr">
        <is>
          <t xml:space="preserve">Budget geht auf (übrig ≥ 0)</t>
        </is>
      </c>
      <c r="C34" s="14">
        <f>C17</f>
      </c>
      <c r="D34" s="14">
        <v>0</v>
      </c>
      <c r="E34" s="10" t="str">
        <f>IF(C34&gt;=D34,"✓ erfüllt","✗ Defizit")</f>
      </c>
    </row>
    <row r="35">
      <c r="B35" s="9" t="inlineStr">
        <is>
          <t xml:space="preserve">Für Jahresrechnungen monatlich zurücklegen</t>
        </is>
      </c>
      <c r="C35" s="14">
        <f>SUMPRODUCT((Budget!$A$5:$A$300&lt;&gt;"Einnahmen")*(Budget!$A$5:$A$300&lt;&gt;"")*((Budget!$D$5:$D$300="jährlich")+(Budget!$D$5:$D$300="halbjährlich")+(Budget!$D$5:$D$300="vierteljährlich"))*Budget!$G$5:$G$300)</f>
      </c>
      <c r="G35" s="3" t="inlineStr">
        <is>
          <t xml:space="preserve">Am besten per Dauerauftrag auf ein eigenes Konto.</t>
        </is>
      </c>
    </row>
    <row r="36">
      <c r="B36" s="9" t="inlineStr">
        <is>
          <t xml:space="preserve">Notgroschen (drei Monatsausgaben)</t>
        </is>
      </c>
      <c r="C36" s="14">
        <f>C15*3</f>
      </c>
      <c r="G36" s="3" t="inlineStr">
        <is>
          <t xml:space="preserve">Faustregel: drei Monatsausgaben als Reserve auf dem Sparkonto.</t>
        </is>
      </c>
    </row>
    <row r="38">
      <c r="B38" s="3" t="inlineStr">
        <is>
          <t xml:space="preserve">Diese Richtwerte sind übliche Faustregeln, keine Vorgaben einer Beratungsstelle. Für eine persönliche Beratung: Budgetberatung Schweiz (budgetberatung.ch).</t>
        </is>
      </c>
    </row>
  </sheetData>
  <conditionalFormatting sqref="C17:E17">
    <cfRule type="expression" dxfId="1" priority="1">
      <formula>$C$17&lt;0</formula>
    </cfRule>
  </conditionalFormatting>
  <conditionalFormatting sqref="C17:E17">
    <cfRule type="expression" dxfId="0" priority="2">
      <formula>$C$17&gt;=0</formula>
    </cfRule>
  </conditionalFormatting>
  <conditionalFormatting sqref="C8:C14">
    <cfRule type="dataBar" priority="3">
      <dataBar>
        <cfvo type="num" val="0"/>
        <cfvo type="max"/>
        <color rgb="FF8CC4A8"/>
      </dataBar>
    </cfRule>
  </conditionalFormatting>
  <conditionalFormatting sqref="C27:E27">
    <cfRule type="expression" dxfId="1" priority="4">
      <formula>C27&lt;0</formula>
    </cfRule>
  </conditionalFormatting>
  <conditionalFormatting sqref="E32:E34">
    <cfRule type="expression" dxfId="0" priority="5">
      <formula>LEFT(E32,1)="✓"</formula>
    </cfRule>
  </conditionalFormatting>
  <conditionalFormatting sqref="E32:E34">
    <cfRule type="expression" dxfId="1" priority="6">
      <formula>LEFT(E32,1)="✗"</formula>
    </cfRule>
  </conditionalFormatting>
  <dataValidations count="1">
    <dataValidation type="list" allowBlank="1" showErrorMessage="1" errorTitle="Auswahl" error="Bitte einen Wert aus der Liste wählen." sqref="C4">
      <formula1>"nach Einkommen,50 / 50"</formula1>
    </dataValidation>
  </dataValidations>
  <pageMargins left="0.5" right="0.5" top="0.6" bottom="0.6" header="0.3" footer="0.3"/>
  <pageSetup paperSize="9" orientation="portrait" fitToWidth="1" fitToHeight="0"/>
  <headerFooter>
    <oddFooter>&amp;LÜbersicht&amp;RSeite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C6A4F"/>
    <pageSetUpPr fitToPage="1"/>
  </sheetPr>
  <dimension ref="A1:K7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/>
  <cols>
    <col min="1" max="1" width="21" customWidth="1"/>
    <col min="2" max="2" width="36" customWidth="1"/>
    <col min="3" max="3" width="13" customWidth="1"/>
    <col min="4" max="4" width="15" customWidth="1"/>
    <col min="5" max="5" width="12" customWidth="1"/>
    <col min="6" max="6" width="10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 ht="24" customHeight="1">
      <c r="A1" s="1" t="inlineStr">
        <is>
          <t xml:space="preserve">Haushaltsbudget Simon &amp; Eliana</t>
        </is>
      </c>
    </row>
    <row r="2">
      <c r="A2" s="2" t="inlineStr">
        <is>
          <t xml:space="preserve">Blau auf Gelb = eingeben · schwarz = rechnet selbst · Stand 13.10.2026</t>
        </is>
      </c>
    </row>
    <row r="3">
      <c r="A3" s="2" t="inlineStr">
        <is>
          <t xml:space="preserve">Zeilen einfügen innerhalb einer Gruppe ist erlaubt – Spalte A muss den Gruppennamen enthalten.</t>
        </is>
      </c>
    </row>
    <row r="4" ht="30" customHeight="1">
      <c r="A4" s="4" t="inlineStr">
        <is>
          <t xml:space="preserve">Gruppe</t>
        </is>
      </c>
      <c r="B4" s="4" t="inlineStr">
        <is>
          <t xml:space="preserve">Posten</t>
        </is>
      </c>
      <c r="C4" s="5" t="inlineStr">
        <is>
          <t xml:space="preserve">Betrag CHF</t>
        </is>
      </c>
      <c r="D4" s="4" t="inlineStr">
        <is>
          <t xml:space="preserve">Wie oft</t>
        </is>
      </c>
      <c r="E4" s="4" t="inlineStr">
        <is>
          <t xml:space="preserve">Wer</t>
        </is>
      </c>
      <c r="F4" s="4" t="inlineStr">
        <is>
          <t xml:space="preserve">Fällig Monat</t>
        </is>
      </c>
      <c r="G4" s="5" t="inlineStr">
        <is>
          <t xml:space="preserve">Pro Monat</t>
        </is>
      </c>
      <c r="H4" s="5" t="inlineStr">
        <is>
          <t xml:space="preserve">Pro Jahr</t>
        </is>
      </c>
      <c r="I4" s="5" t="inlineStr">
        <is>
          <t xml:space="preserve">Anteil Simon</t>
        </is>
      </c>
      <c r="J4" s="5" t="inlineStr">
        <is>
          <t xml:space="preserve">Anteil Eliana</t>
        </is>
      </c>
      <c r="K4" s="4" t="inlineStr">
        <is>
          <t xml:space="preserve">Ist-Kategorie</t>
        </is>
      </c>
    </row>
    <row r="5">
      <c r="A5" s="6" t="inlineStr">
        <is>
          <t xml:space="preserve">Einnahmen</t>
        </is>
      </c>
      <c r="B5" s="26" t="inlineStr">
        <is>
          <t xml:space="preserve">Nettolohn nach Abzügen, 13. Monatslohn, Nebenverdienst, Zulagen</t>
        </is>
      </c>
      <c r="C5" s="7"/>
      <c r="D5" s="7"/>
      <c r="E5" s="7"/>
      <c r="F5" s="7"/>
      <c r="G5" s="7"/>
      <c r="H5" s="7"/>
      <c r="I5" s="7"/>
      <c r="J5" s="7"/>
      <c r="K5" s="7"/>
    </row>
    <row r="6">
      <c r="A6" s="8" t="inlineStr">
        <is>
          <t xml:space="preserve">Einnahmen</t>
        </is>
      </c>
      <c r="B6" s="11" t="inlineStr">
        <is>
          <t xml:space="preserve">Nettolohn Simon</t>
        </is>
      </c>
      <c r="C6" s="12"/>
      <c r="D6" s="11" t="inlineStr">
        <is>
          <t xml:space="preserve">monatlich</t>
        </is>
      </c>
      <c r="E6" s="11" t="inlineStr">
        <is>
          <t xml:space="preserve">Simon</t>
        </is>
      </c>
      <c r="F6" s="13"/>
      <c r="G6" s="14">
        <f>IFERROR(C6*INDEX(Listen!$B$2:$B$6,MATCH(D6,Listen!$A$2:$A$6,0)),0)</f>
      </c>
      <c r="H6" s="14">
        <f>G6*12</f>
      </c>
      <c r="I6" s="14">
        <f>IF(E6="Simon",G6,IF(E6="Eliana",0,G6/2))</f>
      </c>
      <c r="J6" s="14">
        <f>G6-I6</f>
      </c>
      <c r="K6" s="11"/>
    </row>
    <row r="7">
      <c r="A7" s="8" t="inlineStr">
        <is>
          <t xml:space="preserve">Einnahmen</t>
        </is>
      </c>
      <c r="B7" s="11" t="inlineStr">
        <is>
          <t xml:space="preserve">Nettolohn Eliana</t>
        </is>
      </c>
      <c r="C7" s="12"/>
      <c r="D7" s="11" t="inlineStr">
        <is>
          <t xml:space="preserve">monatlich</t>
        </is>
      </c>
      <c r="E7" s="11" t="inlineStr">
        <is>
          <t xml:space="preserve">Eliana</t>
        </is>
      </c>
      <c r="F7" s="13"/>
      <c r="G7" s="14">
        <f>IFERROR(C7*INDEX(Listen!$B$2:$B$6,MATCH(D7,Listen!$A$2:$A$6,0)),0)</f>
      </c>
      <c r="H7" s="14">
        <f>G7*12</f>
      </c>
      <c r="I7" s="14">
        <f>IF(E7="Simon",G7,IF(E7="Eliana",0,G7/2))</f>
      </c>
      <c r="J7" s="14">
        <f>G7-I7</f>
      </c>
      <c r="K7" s="11"/>
    </row>
    <row r="8">
      <c r="A8" s="8" t="inlineStr">
        <is>
          <t xml:space="preserve">Einnahmen</t>
        </is>
      </c>
      <c r="B8" s="11" t="inlineStr">
        <is>
          <t xml:space="preserve">13. Monatslohn Simon</t>
        </is>
      </c>
      <c r="C8" s="12"/>
      <c r="D8" s="11" t="inlineStr">
        <is>
          <t xml:space="preserve">jährlich</t>
        </is>
      </c>
      <c r="E8" s="11" t="inlineStr">
        <is>
          <t xml:space="preserve">Simon</t>
        </is>
      </c>
      <c r="F8" s="13">
        <v>12</v>
      </c>
      <c r="G8" s="14">
        <f>IFERROR(C8*INDEX(Listen!$B$2:$B$6,MATCH(D8,Listen!$A$2:$A$6,0)),0)</f>
      </c>
      <c r="H8" s="14">
        <f>G8*12</f>
      </c>
      <c r="I8" s="14">
        <f>IF(E8="Simon",G8,IF(E8="Eliana",0,G8/2))</f>
      </c>
      <c r="J8" s="14">
        <f>G8-I8</f>
      </c>
      <c r="K8" s="11"/>
    </row>
    <row r="9">
      <c r="A9" s="8" t="inlineStr">
        <is>
          <t xml:space="preserve">Einnahmen</t>
        </is>
      </c>
      <c r="B9" s="11" t="inlineStr">
        <is>
          <t xml:space="preserve">13. Monatslohn Eliana</t>
        </is>
      </c>
      <c r="C9" s="12"/>
      <c r="D9" s="11" t="inlineStr">
        <is>
          <t xml:space="preserve">jährlich</t>
        </is>
      </c>
      <c r="E9" s="11" t="inlineStr">
        <is>
          <t xml:space="preserve">Eliana</t>
        </is>
      </c>
      <c r="F9" s="13">
        <v>12</v>
      </c>
      <c r="G9" s="14">
        <f>IFERROR(C9*INDEX(Listen!$B$2:$B$6,MATCH(D9,Listen!$A$2:$A$6,0)),0)</f>
      </c>
      <c r="H9" s="14">
        <f>G9*12</f>
      </c>
      <c r="I9" s="14">
        <f>IF(E9="Simon",G9,IF(E9="Eliana",0,G9/2))</f>
      </c>
      <c r="J9" s="14">
        <f>G9-I9</f>
      </c>
      <c r="K9" s="11"/>
    </row>
    <row r="10">
      <c r="A10" s="8" t="inlineStr">
        <is>
          <t xml:space="preserve">Einnahmen</t>
        </is>
      </c>
      <c r="B10" s="11" t="inlineStr">
        <is>
          <t xml:space="preserve">Nebenverdienst, Bonus</t>
        </is>
      </c>
      <c r="C10" s="12"/>
      <c r="D10" s="11" t="inlineStr">
        <is>
          <t xml:space="preserve">jährlich</t>
        </is>
      </c>
      <c r="E10" s="11" t="inlineStr">
        <is>
          <t xml:space="preserve">gemeinsam</t>
        </is>
      </c>
      <c r="F10" s="13">
        <v>1</v>
      </c>
      <c r="G10" s="14">
        <f>IFERROR(C10*INDEX(Listen!$B$2:$B$6,MATCH(D10,Listen!$A$2:$A$6,0)),0)</f>
      </c>
      <c r="H10" s="14">
        <f>G10*12</f>
      </c>
      <c r="I10" s="14">
        <f>IF(E10="Simon",G10,IF(E10="Eliana",0,G10/2))</f>
      </c>
      <c r="J10" s="14">
        <f>G10-I10</f>
      </c>
      <c r="K10" s="11"/>
    </row>
    <row r="11">
      <c r="A11" s="8" t="inlineStr">
        <is>
          <t xml:space="preserve">Einnahmen</t>
        </is>
      </c>
      <c r="B11" s="11"/>
      <c r="C11" s="12"/>
      <c r="D11" s="11" t="inlineStr">
        <is>
          <t xml:space="preserve">monatlich</t>
        </is>
      </c>
      <c r="E11" s="11" t="inlineStr">
        <is>
          <t xml:space="preserve">gemeinsam</t>
        </is>
      </c>
      <c r="F11" s="13"/>
      <c r="G11" s="14">
        <f>IFERROR(C11*INDEX(Listen!$B$2:$B$6,MATCH(D11,Listen!$A$2:$A$6,0)),0)</f>
      </c>
      <c r="H11" s="14">
        <f>G11*12</f>
      </c>
      <c r="I11" s="14">
        <f>IF(E11="Simon",G11,IF(E11="Eliana",0,G11/2))</f>
      </c>
      <c r="J11" s="14">
        <f>G11-I11</f>
      </c>
      <c r="K11" s="11"/>
    </row>
    <row r="12">
      <c r="A12" s="8" t="inlineStr">
        <is>
          <t xml:space="preserve">Einnahmen</t>
        </is>
      </c>
      <c r="B12" s="11"/>
      <c r="C12" s="12"/>
      <c r="D12" s="11" t="inlineStr">
        <is>
          <t xml:space="preserve">monatlich</t>
        </is>
      </c>
      <c r="E12" s="11" t="inlineStr">
        <is>
          <t xml:space="preserve">gemeinsam</t>
        </is>
      </c>
      <c r="F12" s="13"/>
      <c r="G12" s="14">
        <f>IFERROR(C12*INDEX(Listen!$B$2:$B$6,MATCH(D12,Listen!$A$2:$A$6,0)),0)</f>
      </c>
      <c r="H12" s="14">
        <f>G12*12</f>
      </c>
      <c r="I12" s="14">
        <f>IF(E12="Simon",G12,IF(E12="Eliana",0,G12/2))</f>
      </c>
      <c r="J12" s="14">
        <f>G12-I12</f>
      </c>
      <c r="K12" s="11"/>
    </row>
    <row r="13">
      <c r="A13" s="8" t="inlineStr">
        <is>
          <t xml:space="preserve">Einnahmen</t>
        </is>
      </c>
      <c r="B13" s="11"/>
      <c r="C13" s="12"/>
      <c r="D13" s="11" t="inlineStr">
        <is>
          <t xml:space="preserve">monatlich</t>
        </is>
      </c>
      <c r="E13" s="11" t="inlineStr">
        <is>
          <t xml:space="preserve">gemeinsam</t>
        </is>
      </c>
      <c r="F13" s="13"/>
      <c r="G13" s="14">
        <f>IFERROR(C13*INDEX(Listen!$B$2:$B$6,MATCH(D13,Listen!$A$2:$A$6,0)),0)</f>
      </c>
      <c r="H13" s="14">
        <f>G13*12</f>
      </c>
      <c r="I13" s="14">
        <f>IF(E13="Simon",G13,IF(E13="Eliana",0,G13/2))</f>
      </c>
      <c r="J13" s="14">
        <f>G13-I13</f>
      </c>
      <c r="K13" s="11"/>
    </row>
    <row r="14">
      <c r="A14" s="6" t="inlineStr">
        <is>
          <t xml:space="preserve">Wohnen &amp; Energie</t>
        </is>
      </c>
      <c r="B14" s="26" t="inlineStr">
        <is>
          <t xml:space="preserve">Miete mit Nebenkosten, Strom, Internet, Serafe</t>
        </is>
      </c>
      <c r="C14" s="7"/>
      <c r="D14" s="7"/>
      <c r="E14" s="7"/>
      <c r="F14" s="7"/>
      <c r="G14" s="7"/>
      <c r="H14" s="7"/>
      <c r="I14" s="7"/>
      <c r="J14" s="7"/>
      <c r="K14" s="7"/>
    </row>
    <row r="15">
      <c r="A15" s="8" t="inlineStr">
        <is>
          <t xml:space="preserve">Wohnen &amp; Energie</t>
        </is>
      </c>
      <c r="B15" s="11" t="inlineStr">
        <is>
          <t xml:space="preserve">Miete inkl. Nebenkosten</t>
        </is>
      </c>
      <c r="C15" s="12"/>
      <c r="D15" s="11" t="inlineStr">
        <is>
          <t xml:space="preserve">monatlich</t>
        </is>
      </c>
      <c r="E15" s="11" t="inlineStr">
        <is>
          <t xml:space="preserve">gemeinsam</t>
        </is>
      </c>
      <c r="F15" s="13"/>
      <c r="G15" s="14">
        <f>IFERROR(C15*INDEX(Listen!$B$2:$B$6,MATCH(D15,Listen!$A$2:$A$6,0)),0)</f>
      </c>
      <c r="H15" s="14">
        <f>G15*12</f>
      </c>
      <c r="I15" s="14">
        <f>IF(E15="Simon",G15,IF(E15="Eliana",0,G15*'Übersicht'!$C$24))</f>
      </c>
      <c r="J15" s="14">
        <f>G15-I15</f>
      </c>
      <c r="K15" s="11"/>
    </row>
    <row r="16">
      <c r="A16" s="8" t="inlineStr">
        <is>
          <t xml:space="preserve">Wohnen &amp; Energie</t>
        </is>
      </c>
      <c r="B16" s="11" t="inlineStr">
        <is>
          <t xml:space="preserve">Strom</t>
        </is>
      </c>
      <c r="C16" s="12"/>
      <c r="D16" s="11" t="inlineStr">
        <is>
          <t xml:space="preserve">vierteljährlich</t>
        </is>
      </c>
      <c r="E16" s="11" t="inlineStr">
        <is>
          <t xml:space="preserve">gemeinsam</t>
        </is>
      </c>
      <c r="F16" s="13">
        <v>3</v>
      </c>
      <c r="G16" s="14">
        <f>IFERROR(C16*INDEX(Listen!$B$2:$B$6,MATCH(D16,Listen!$A$2:$A$6,0)),0)</f>
      </c>
      <c r="H16" s="14">
        <f>G16*12</f>
      </c>
      <c r="I16" s="14">
        <f>IF(E16="Simon",G16,IF(E16="Eliana",0,G16*'Übersicht'!$C$24))</f>
      </c>
      <c r="J16" s="14">
        <f>G16-I16</f>
      </c>
      <c r="K16" s="11"/>
    </row>
    <row r="17">
      <c r="A17" s="8" t="inlineStr">
        <is>
          <t xml:space="preserve">Wohnen &amp; Energie</t>
        </is>
      </c>
      <c r="B17" s="11" t="inlineStr">
        <is>
          <t xml:space="preserve">Internet &amp; TV</t>
        </is>
      </c>
      <c r="C17" s="12"/>
      <c r="D17" s="11" t="inlineStr">
        <is>
          <t xml:space="preserve">monatlich</t>
        </is>
      </c>
      <c r="E17" s="11" t="inlineStr">
        <is>
          <t xml:space="preserve">gemeinsam</t>
        </is>
      </c>
      <c r="F17" s="13"/>
      <c r="G17" s="14">
        <f>IFERROR(C17*INDEX(Listen!$B$2:$B$6,MATCH(D17,Listen!$A$2:$A$6,0)),0)</f>
      </c>
      <c r="H17" s="14">
        <f>G17*12</f>
      </c>
      <c r="I17" s="14">
        <f>IF(E17="Simon",G17,IF(E17="Eliana",0,G17*'Übersicht'!$C$24))</f>
      </c>
      <c r="J17" s="14">
        <f>G17-I17</f>
      </c>
      <c r="K17" s="11"/>
    </row>
    <row r="18">
      <c r="A18" s="8" t="inlineStr">
        <is>
          <t xml:space="preserve">Wohnen &amp; Energie</t>
        </is>
      </c>
      <c r="B18" s="11" t="inlineStr">
        <is>
          <t xml:space="preserve">Serafe (Radio/TV-Abgabe)</t>
        </is>
      </c>
      <c r="C18" s="12"/>
      <c r="D18" s="11" t="inlineStr">
        <is>
          <t xml:space="preserve">jährlich</t>
        </is>
      </c>
      <c r="E18" s="11" t="inlineStr">
        <is>
          <t xml:space="preserve">gemeinsam</t>
        </is>
      </c>
      <c r="F18" s="13">
        <v>4</v>
      </c>
      <c r="G18" s="14">
        <f>IFERROR(C18*INDEX(Listen!$B$2:$B$6,MATCH(D18,Listen!$A$2:$A$6,0)),0)</f>
      </c>
      <c r="H18" s="14">
        <f>G18*12</f>
      </c>
      <c r="I18" s="14">
        <f>IF(E18="Simon",G18,IF(E18="Eliana",0,G18*'Übersicht'!$C$24))</f>
      </c>
      <c r="J18" s="14">
        <f>G18-I18</f>
      </c>
      <c r="K18" s="11"/>
    </row>
    <row r="19">
      <c r="A19" s="8" t="inlineStr">
        <is>
          <t xml:space="preserve">Wohnen &amp; Energie</t>
        </is>
      </c>
      <c r="B19" s="11"/>
      <c r="C19" s="12"/>
      <c r="D19" s="11" t="inlineStr">
        <is>
          <t xml:space="preserve">monatlich</t>
        </is>
      </c>
      <c r="E19" s="11" t="inlineStr">
        <is>
          <t xml:space="preserve">gemeinsam</t>
        </is>
      </c>
      <c r="F19" s="13"/>
      <c r="G19" s="14">
        <f>IFERROR(C19*INDEX(Listen!$B$2:$B$6,MATCH(D19,Listen!$A$2:$A$6,0)),0)</f>
      </c>
      <c r="H19" s="14">
        <f>G19*12</f>
      </c>
      <c r="I19" s="14">
        <f>IF(E19="Simon",G19,IF(E19="Eliana",0,G19*'Übersicht'!$C$24))</f>
      </c>
      <c r="J19" s="14">
        <f>G19-I19</f>
      </c>
      <c r="K19" s="11"/>
    </row>
    <row r="20">
      <c r="A20" s="8" t="inlineStr">
        <is>
          <t xml:space="preserve">Wohnen &amp; Energie</t>
        </is>
      </c>
      <c r="B20" s="11"/>
      <c r="C20" s="12"/>
      <c r="D20" s="11" t="inlineStr">
        <is>
          <t xml:space="preserve">monatlich</t>
        </is>
      </c>
      <c r="E20" s="11" t="inlineStr">
        <is>
          <t xml:space="preserve">gemeinsam</t>
        </is>
      </c>
      <c r="F20" s="13"/>
      <c r="G20" s="14">
        <f>IFERROR(C20*INDEX(Listen!$B$2:$B$6,MATCH(D20,Listen!$A$2:$A$6,0)),0)</f>
      </c>
      <c r="H20" s="14">
        <f>G20*12</f>
      </c>
      <c r="I20" s="14">
        <f>IF(E20="Simon",G20,IF(E20="Eliana",0,G20*'Übersicht'!$C$24))</f>
      </c>
      <c r="J20" s="14">
        <f>G20-I20</f>
      </c>
      <c r="K20" s="11"/>
    </row>
    <row r="21">
      <c r="A21" s="8" t="inlineStr">
        <is>
          <t xml:space="preserve">Wohnen &amp; Energie</t>
        </is>
      </c>
      <c r="B21" s="11"/>
      <c r="C21" s="12"/>
      <c r="D21" s="11" t="inlineStr">
        <is>
          <t xml:space="preserve">monatlich</t>
        </is>
      </c>
      <c r="E21" s="11" t="inlineStr">
        <is>
          <t xml:space="preserve">gemeinsam</t>
        </is>
      </c>
      <c r="F21" s="13"/>
      <c r="G21" s="14">
        <f>IFERROR(C21*INDEX(Listen!$B$2:$B$6,MATCH(D21,Listen!$A$2:$A$6,0)),0)</f>
      </c>
      <c r="H21" s="14">
        <f>G21*12</f>
      </c>
      <c r="I21" s="14">
        <f>IF(E21="Simon",G21,IF(E21="Eliana",0,G21*'Übersicht'!$C$24))</f>
      </c>
      <c r="J21" s="14">
        <f>G21-I21</f>
      </c>
      <c r="K21" s="11"/>
    </row>
    <row r="22">
      <c r="A22" s="6" t="inlineStr">
        <is>
          <t xml:space="preserve">Versicherungen</t>
        </is>
      </c>
      <c r="B22" s="26" t="inlineStr">
        <is>
          <t xml:space="preserve">Krankenkasse, Zusatzversicherungen, Hausrat und Haftpflicht</t>
        </is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8" t="inlineStr">
        <is>
          <t xml:space="preserve">Versicherungen</t>
        </is>
      </c>
      <c r="B23" s="11" t="inlineStr">
        <is>
          <t xml:space="preserve">Krankenkasse Simon</t>
        </is>
      </c>
      <c r="C23" s="12"/>
      <c r="D23" s="11" t="inlineStr">
        <is>
          <t xml:space="preserve">monatlich</t>
        </is>
      </c>
      <c r="E23" s="11" t="inlineStr">
        <is>
          <t xml:space="preserve">Simon</t>
        </is>
      </c>
      <c r="F23" s="13"/>
      <c r="G23" s="14">
        <f>IFERROR(C23*INDEX(Listen!$B$2:$B$6,MATCH(D23,Listen!$A$2:$A$6,0)),0)</f>
      </c>
      <c r="H23" s="14">
        <f>G23*12</f>
      </c>
      <c r="I23" s="14">
        <f>IF(E23="Simon",G23,IF(E23="Eliana",0,G23*'Übersicht'!$C$24))</f>
      </c>
      <c r="J23" s="14">
        <f>G23-I23</f>
      </c>
      <c r="K23" s="11"/>
    </row>
    <row r="24">
      <c r="A24" s="8" t="inlineStr">
        <is>
          <t xml:space="preserve">Versicherungen</t>
        </is>
      </c>
      <c r="B24" s="11" t="inlineStr">
        <is>
          <t xml:space="preserve">Krankenkasse Eliana</t>
        </is>
      </c>
      <c r="C24" s="12"/>
      <c r="D24" s="11" t="inlineStr">
        <is>
          <t xml:space="preserve">monatlich</t>
        </is>
      </c>
      <c r="E24" s="11" t="inlineStr">
        <is>
          <t xml:space="preserve">Eliana</t>
        </is>
      </c>
      <c r="F24" s="13"/>
      <c r="G24" s="14">
        <f>IFERROR(C24*INDEX(Listen!$B$2:$B$6,MATCH(D24,Listen!$A$2:$A$6,0)),0)</f>
      </c>
      <c r="H24" s="14">
        <f>G24*12</f>
      </c>
      <c r="I24" s="14">
        <f>IF(E24="Simon",G24,IF(E24="Eliana",0,G24*'Übersicht'!$C$24))</f>
      </c>
      <c r="J24" s="14">
        <f>G24-I24</f>
      </c>
      <c r="K24" s="11"/>
    </row>
    <row r="25">
      <c r="A25" s="8" t="inlineStr">
        <is>
          <t xml:space="preserve">Versicherungen</t>
        </is>
      </c>
      <c r="B25" s="11" t="inlineStr">
        <is>
          <t xml:space="preserve">Zusatzversicherungen</t>
        </is>
      </c>
      <c r="C25" s="12"/>
      <c r="D25" s="11" t="inlineStr">
        <is>
          <t xml:space="preserve">monatlich</t>
        </is>
      </c>
      <c r="E25" s="11" t="inlineStr">
        <is>
          <t xml:space="preserve">gemeinsam</t>
        </is>
      </c>
      <c r="F25" s="13"/>
      <c r="G25" s="14">
        <f>IFERROR(C25*INDEX(Listen!$B$2:$B$6,MATCH(D25,Listen!$A$2:$A$6,0)),0)</f>
      </c>
      <c r="H25" s="14">
        <f>G25*12</f>
      </c>
      <c r="I25" s="14">
        <f>IF(E25="Simon",G25,IF(E25="Eliana",0,G25*'Übersicht'!$C$24))</f>
      </c>
      <c r="J25" s="14">
        <f>G25-I25</f>
      </c>
      <c r="K25" s="11"/>
    </row>
    <row r="26">
      <c r="A26" s="8" t="inlineStr">
        <is>
          <t xml:space="preserve">Versicherungen</t>
        </is>
      </c>
      <c r="B26" s="11" t="inlineStr">
        <is>
          <t xml:space="preserve">Hausrat &amp; Privathaftpflicht</t>
        </is>
      </c>
      <c r="C26" s="12"/>
      <c r="D26" s="11" t="inlineStr">
        <is>
          <t xml:space="preserve">jährlich</t>
        </is>
      </c>
      <c r="E26" s="11" t="inlineStr">
        <is>
          <t xml:space="preserve">gemeinsam</t>
        </is>
      </c>
      <c r="F26" s="13">
        <v>1</v>
      </c>
      <c r="G26" s="14">
        <f>IFERROR(C26*INDEX(Listen!$B$2:$B$6,MATCH(D26,Listen!$A$2:$A$6,0)),0)</f>
      </c>
      <c r="H26" s="14">
        <f>G26*12</f>
      </c>
      <c r="I26" s="14">
        <f>IF(E26="Simon",G26,IF(E26="Eliana",0,G26*'Übersicht'!$C$24))</f>
      </c>
      <c r="J26" s="14">
        <f>G26-I26</f>
      </c>
      <c r="K26" s="11"/>
    </row>
    <row r="27">
      <c r="A27" s="8" t="inlineStr">
        <is>
          <t xml:space="preserve">Versicherungen</t>
        </is>
      </c>
      <c r="B27" s="11"/>
      <c r="C27" s="12"/>
      <c r="D27" s="11" t="inlineStr">
        <is>
          <t xml:space="preserve">monatlich</t>
        </is>
      </c>
      <c r="E27" s="11" t="inlineStr">
        <is>
          <t xml:space="preserve">gemeinsam</t>
        </is>
      </c>
      <c r="F27" s="13"/>
      <c r="G27" s="14">
        <f>IFERROR(C27*INDEX(Listen!$B$2:$B$6,MATCH(D27,Listen!$A$2:$A$6,0)),0)</f>
      </c>
      <c r="H27" s="14">
        <f>G27*12</f>
      </c>
      <c r="I27" s="14">
        <f>IF(E27="Simon",G27,IF(E27="Eliana",0,G27*'Übersicht'!$C$24))</f>
      </c>
      <c r="J27" s="14">
        <f>G27-I27</f>
      </c>
      <c r="K27" s="11"/>
    </row>
    <row r="28">
      <c r="A28" s="8" t="inlineStr">
        <is>
          <t xml:space="preserve">Versicherungen</t>
        </is>
      </c>
      <c r="B28" s="11"/>
      <c r="C28" s="12"/>
      <c r="D28" s="11" t="inlineStr">
        <is>
          <t xml:space="preserve">monatlich</t>
        </is>
      </c>
      <c r="E28" s="11" t="inlineStr">
        <is>
          <t xml:space="preserve">gemeinsam</t>
        </is>
      </c>
      <c r="F28" s="13"/>
      <c r="G28" s="14">
        <f>IFERROR(C28*INDEX(Listen!$B$2:$B$6,MATCH(D28,Listen!$A$2:$A$6,0)),0)</f>
      </c>
      <c r="H28" s="14">
        <f>G28*12</f>
      </c>
      <c r="I28" s="14">
        <f>IF(E28="Simon",G28,IF(E28="Eliana",0,G28*'Übersicht'!$C$24))</f>
      </c>
      <c r="J28" s="14">
        <f>G28-I28</f>
      </c>
      <c r="K28" s="11"/>
    </row>
    <row r="29">
      <c r="A29" s="8" t="inlineStr">
        <is>
          <t xml:space="preserve">Versicherungen</t>
        </is>
      </c>
      <c r="B29" s="11"/>
      <c r="C29" s="12"/>
      <c r="D29" s="11" t="inlineStr">
        <is>
          <t xml:space="preserve">monatlich</t>
        </is>
      </c>
      <c r="E29" s="11" t="inlineStr">
        <is>
          <t xml:space="preserve">gemeinsam</t>
        </is>
      </c>
      <c r="F29" s="13"/>
      <c r="G29" s="14">
        <f>IFERROR(C29*INDEX(Listen!$B$2:$B$6,MATCH(D29,Listen!$A$2:$A$6,0)),0)</f>
      </c>
      <c r="H29" s="14">
        <f>G29*12</f>
      </c>
      <c r="I29" s="14">
        <f>IF(E29="Simon",G29,IF(E29="Eliana",0,G29*'Übersicht'!$C$24))</f>
      </c>
      <c r="J29" s="14">
        <f>G29-I29</f>
      </c>
      <c r="K29" s="11"/>
    </row>
    <row r="30">
      <c r="A30" s="6" t="inlineStr">
        <is>
          <t xml:space="preserve">Steuern</t>
        </is>
      </c>
      <c r="B30" s="26" t="inlineStr">
        <is>
          <t xml:space="preserve">Gemeinde-, Staats- und Bundessteuer – als Jahresbetrag</t>
        </is>
      </c>
      <c r="C30" s="7"/>
      <c r="D30" s="7"/>
      <c r="E30" s="7"/>
      <c r="F30" s="7"/>
      <c r="G30" s="7"/>
      <c r="H30" s="7"/>
      <c r="I30" s="7"/>
      <c r="J30" s="7"/>
      <c r="K30" s="7"/>
    </row>
    <row r="31">
      <c r="A31" s="8" t="inlineStr">
        <is>
          <t xml:space="preserve">Steuern</t>
        </is>
      </c>
      <c r="B31" s="11" t="inlineStr">
        <is>
          <t xml:space="preserve">Steuern Simon</t>
        </is>
      </c>
      <c r="C31" s="12"/>
      <c r="D31" s="11" t="inlineStr">
        <is>
          <t xml:space="preserve">jährlich</t>
        </is>
      </c>
      <c r="E31" s="11" t="inlineStr">
        <is>
          <t xml:space="preserve">Simon</t>
        </is>
      </c>
      <c r="F31" s="13">
        <v>3</v>
      </c>
      <c r="G31" s="14">
        <f>IFERROR(C31*INDEX(Listen!$B$2:$B$6,MATCH(D31,Listen!$A$2:$A$6,0)),0)</f>
      </c>
      <c r="H31" s="14">
        <f>G31*12</f>
      </c>
      <c r="I31" s="14">
        <f>IF(E31="Simon",G31,IF(E31="Eliana",0,G31*'Übersicht'!$C$24))</f>
      </c>
      <c r="J31" s="14">
        <f>G31-I31</f>
      </c>
      <c r="K31" s="11"/>
    </row>
    <row r="32">
      <c r="A32" s="8" t="inlineStr">
        <is>
          <t xml:space="preserve">Steuern</t>
        </is>
      </c>
      <c r="B32" s="11" t="inlineStr">
        <is>
          <t xml:space="preserve">Steuern Eliana</t>
        </is>
      </c>
      <c r="C32" s="12"/>
      <c r="D32" s="11" t="inlineStr">
        <is>
          <t xml:space="preserve">jährlich</t>
        </is>
      </c>
      <c r="E32" s="11" t="inlineStr">
        <is>
          <t xml:space="preserve">Eliana</t>
        </is>
      </c>
      <c r="F32" s="13">
        <v>3</v>
      </c>
      <c r="G32" s="14">
        <f>IFERROR(C32*INDEX(Listen!$B$2:$B$6,MATCH(D32,Listen!$A$2:$A$6,0)),0)</f>
      </c>
      <c r="H32" s="14">
        <f>G32*12</f>
      </c>
      <c r="I32" s="14">
        <f>IF(E32="Simon",G32,IF(E32="Eliana",0,G32*'Übersicht'!$C$24))</f>
      </c>
      <c r="J32" s="14">
        <f>G32-I32</f>
      </c>
      <c r="K32" s="11"/>
    </row>
    <row r="33">
      <c r="A33" s="8" t="inlineStr">
        <is>
          <t xml:space="preserve">Steuern</t>
        </is>
      </c>
      <c r="B33" s="11"/>
      <c r="C33" s="12"/>
      <c r="D33" s="11" t="inlineStr">
        <is>
          <t xml:space="preserve">monatlich</t>
        </is>
      </c>
      <c r="E33" s="11" t="inlineStr">
        <is>
          <t xml:space="preserve">gemeinsam</t>
        </is>
      </c>
      <c r="F33" s="13"/>
      <c r="G33" s="14">
        <f>IFERROR(C33*INDEX(Listen!$B$2:$B$6,MATCH(D33,Listen!$A$2:$A$6,0)),0)</f>
      </c>
      <c r="H33" s="14">
        <f>G33*12</f>
      </c>
      <c r="I33" s="14">
        <f>IF(E33="Simon",G33,IF(E33="Eliana",0,G33*'Übersicht'!$C$24))</f>
      </c>
      <c r="J33" s="14">
        <f>G33-I33</f>
      </c>
      <c r="K33" s="11"/>
    </row>
    <row r="34">
      <c r="A34" s="8" t="inlineStr">
        <is>
          <t xml:space="preserve">Steuern</t>
        </is>
      </c>
      <c r="B34" s="11"/>
      <c r="C34" s="12"/>
      <c r="D34" s="11" t="inlineStr">
        <is>
          <t xml:space="preserve">monatlich</t>
        </is>
      </c>
      <c r="E34" s="11" t="inlineStr">
        <is>
          <t xml:space="preserve">gemeinsam</t>
        </is>
      </c>
      <c r="F34" s="13"/>
      <c r="G34" s="14">
        <f>IFERROR(C34*INDEX(Listen!$B$2:$B$6,MATCH(D34,Listen!$A$2:$A$6,0)),0)</f>
      </c>
      <c r="H34" s="14">
        <f>G34*12</f>
      </c>
      <c r="I34" s="14">
        <f>IF(E34="Simon",G34,IF(E34="Eliana",0,G34*'Übersicht'!$C$24))</f>
      </c>
      <c r="J34" s="14">
        <f>G34-I34</f>
      </c>
      <c r="K34" s="11"/>
    </row>
    <row r="35">
      <c r="A35" s="8" t="inlineStr">
        <is>
          <t xml:space="preserve">Steuern</t>
        </is>
      </c>
      <c r="B35" s="11"/>
      <c r="C35" s="12"/>
      <c r="D35" s="11" t="inlineStr">
        <is>
          <t xml:space="preserve">monatlich</t>
        </is>
      </c>
      <c r="E35" s="11" t="inlineStr">
        <is>
          <t xml:space="preserve">gemeinsam</t>
        </is>
      </c>
      <c r="F35" s="13"/>
      <c r="G35" s="14">
        <f>IFERROR(C35*INDEX(Listen!$B$2:$B$6,MATCH(D35,Listen!$A$2:$A$6,0)),0)</f>
      </c>
      <c r="H35" s="14">
        <f>G35*12</f>
      </c>
      <c r="I35" s="14">
        <f>IF(E35="Simon",G35,IF(E35="Eliana",0,G35*'Übersicht'!$C$24))</f>
      </c>
      <c r="J35" s="14">
        <f>G35-I35</f>
      </c>
      <c r="K35" s="11"/>
    </row>
    <row r="36">
      <c r="A36" s="6" t="inlineStr">
        <is>
          <t xml:space="preserve">Mobilität</t>
        </is>
      </c>
      <c r="B36" s="26" t="inlineStr">
        <is>
          <t xml:space="preserve">ÖV-Abo, Halbtax, Velo, Auto</t>
        </is>
      </c>
      <c r="C36" s="7"/>
      <c r="D36" s="7"/>
      <c r="E36" s="7"/>
      <c r="F36" s="7"/>
      <c r="G36" s="7"/>
      <c r="H36" s="7"/>
      <c r="I36" s="7"/>
      <c r="J36" s="7"/>
      <c r="K36" s="7"/>
    </row>
    <row r="37">
      <c r="A37" s="8" t="inlineStr">
        <is>
          <t xml:space="preserve">Mobilität</t>
        </is>
      </c>
      <c r="B37" s="11" t="inlineStr">
        <is>
          <t xml:space="preserve">ÖV-Abo Simon</t>
        </is>
      </c>
      <c r="C37" s="12"/>
      <c r="D37" s="11" t="inlineStr">
        <is>
          <t xml:space="preserve">jährlich</t>
        </is>
      </c>
      <c r="E37" s="11" t="inlineStr">
        <is>
          <t xml:space="preserve">Simon</t>
        </is>
      </c>
      <c r="F37" s="13">
        <v>1</v>
      </c>
      <c r="G37" s="14">
        <f>IFERROR(C37*INDEX(Listen!$B$2:$B$6,MATCH(D37,Listen!$A$2:$A$6,0)),0)</f>
      </c>
      <c r="H37" s="14">
        <f>G37*12</f>
      </c>
      <c r="I37" s="14">
        <f>IF(E37="Simon",G37,IF(E37="Eliana",0,G37*'Übersicht'!$C$24))</f>
      </c>
      <c r="J37" s="14">
        <f>G37-I37</f>
      </c>
      <c r="K37" s="11"/>
    </row>
    <row r="38">
      <c r="A38" s="8" t="inlineStr">
        <is>
          <t xml:space="preserve">Mobilität</t>
        </is>
      </c>
      <c r="B38" s="11" t="inlineStr">
        <is>
          <t xml:space="preserve">ÖV-Abo Eliana</t>
        </is>
      </c>
      <c r="C38" s="12"/>
      <c r="D38" s="11" t="inlineStr">
        <is>
          <t xml:space="preserve">jährlich</t>
        </is>
      </c>
      <c r="E38" s="11" t="inlineStr">
        <is>
          <t xml:space="preserve">Eliana</t>
        </is>
      </c>
      <c r="F38" s="13">
        <v>1</v>
      </c>
      <c r="G38" s="14">
        <f>IFERROR(C38*INDEX(Listen!$B$2:$B$6,MATCH(D38,Listen!$A$2:$A$6,0)),0)</f>
      </c>
      <c r="H38" s="14">
        <f>G38*12</f>
      </c>
      <c r="I38" s="14">
        <f>IF(E38="Simon",G38,IF(E38="Eliana",0,G38*'Übersicht'!$C$24))</f>
      </c>
      <c r="J38" s="14">
        <f>G38-I38</f>
      </c>
      <c r="K38" s="11"/>
    </row>
    <row r="39">
      <c r="A39" s="8" t="inlineStr">
        <is>
          <t xml:space="preserve">Mobilität</t>
        </is>
      </c>
      <c r="B39" s="11" t="inlineStr">
        <is>
          <t xml:space="preserve">Velo, Unterhalt</t>
        </is>
      </c>
      <c r="C39" s="12"/>
      <c r="D39" s="11" t="inlineStr">
        <is>
          <t xml:space="preserve">jährlich</t>
        </is>
      </c>
      <c r="E39" s="11" t="inlineStr">
        <is>
          <t xml:space="preserve">gemeinsam</t>
        </is>
      </c>
      <c r="F39" s="13">
        <v>4</v>
      </c>
      <c r="G39" s="14">
        <f>IFERROR(C39*INDEX(Listen!$B$2:$B$6,MATCH(D39,Listen!$A$2:$A$6,0)),0)</f>
      </c>
      <c r="H39" s="14">
        <f>G39*12</f>
      </c>
      <c r="I39" s="14">
        <f>IF(E39="Simon",G39,IF(E39="Eliana",0,G39*'Übersicht'!$C$24))</f>
      </c>
      <c r="J39" s="14">
        <f>G39-I39</f>
      </c>
      <c r="K39" s="11"/>
    </row>
    <row r="40">
      <c r="A40" s="8" t="inlineStr">
        <is>
          <t xml:space="preserve">Mobilität</t>
        </is>
      </c>
      <c r="B40" s="11"/>
      <c r="C40" s="12"/>
      <c r="D40" s="11" t="inlineStr">
        <is>
          <t xml:space="preserve">monatlich</t>
        </is>
      </c>
      <c r="E40" s="11" t="inlineStr">
        <is>
          <t xml:space="preserve">gemeinsam</t>
        </is>
      </c>
      <c r="F40" s="13"/>
      <c r="G40" s="14">
        <f>IFERROR(C40*INDEX(Listen!$B$2:$B$6,MATCH(D40,Listen!$A$2:$A$6,0)),0)</f>
      </c>
      <c r="H40" s="14">
        <f>G40*12</f>
      </c>
      <c r="I40" s="14">
        <f>IF(E40="Simon",G40,IF(E40="Eliana",0,G40*'Übersicht'!$C$24))</f>
      </c>
      <c r="J40" s="14">
        <f>G40-I40</f>
      </c>
      <c r="K40" s="11"/>
    </row>
    <row r="41">
      <c r="A41" s="8" t="inlineStr">
        <is>
          <t xml:space="preserve">Mobilität</t>
        </is>
      </c>
      <c r="B41" s="11"/>
      <c r="C41" s="12"/>
      <c r="D41" s="11" t="inlineStr">
        <is>
          <t xml:space="preserve">monatlich</t>
        </is>
      </c>
      <c r="E41" s="11" t="inlineStr">
        <is>
          <t xml:space="preserve">gemeinsam</t>
        </is>
      </c>
      <c r="F41" s="13"/>
      <c r="G41" s="14">
        <f>IFERROR(C41*INDEX(Listen!$B$2:$B$6,MATCH(D41,Listen!$A$2:$A$6,0)),0)</f>
      </c>
      <c r="H41" s="14">
        <f>G41*12</f>
      </c>
      <c r="I41" s="14">
        <f>IF(E41="Simon",G41,IF(E41="Eliana",0,G41*'Übersicht'!$C$24))</f>
      </c>
      <c r="J41" s="14">
        <f>G41-I41</f>
      </c>
      <c r="K41" s="11"/>
    </row>
    <row r="42">
      <c r="A42" s="8" t="inlineStr">
        <is>
          <t xml:space="preserve">Mobilität</t>
        </is>
      </c>
      <c r="B42" s="11"/>
      <c r="C42" s="12"/>
      <c r="D42" s="11" t="inlineStr">
        <is>
          <t xml:space="preserve">monatlich</t>
        </is>
      </c>
      <c r="E42" s="11" t="inlineStr">
        <is>
          <t xml:space="preserve">gemeinsam</t>
        </is>
      </c>
      <c r="F42" s="13"/>
      <c r="G42" s="14">
        <f>IFERROR(C42*INDEX(Listen!$B$2:$B$6,MATCH(D42,Listen!$A$2:$A$6,0)),0)</f>
      </c>
      <c r="H42" s="14">
        <f>G42*12</f>
      </c>
      <c r="I42" s="14">
        <f>IF(E42="Simon",G42,IF(E42="Eliana",0,G42*'Übersicht'!$C$24))</f>
      </c>
      <c r="J42" s="14">
        <f>G42-I42</f>
      </c>
      <c r="K42" s="11"/>
    </row>
    <row r="43">
      <c r="A43" s="6" t="inlineStr">
        <is>
          <t xml:space="preserve">Haushalt &amp; Essen</t>
        </is>
      </c>
      <c r="B43" s="26" t="inlineStr">
        <is>
          <t xml:space="preserve">Lebensmittel, Auswärts essen, Drogerie</t>
        </is>
      </c>
      <c r="C43" s="7"/>
      <c r="D43" s="7"/>
      <c r="E43" s="7"/>
      <c r="F43" s="7"/>
      <c r="G43" s="7"/>
      <c r="H43" s="7"/>
      <c r="I43" s="7"/>
      <c r="J43" s="7"/>
      <c r="K43" s="7"/>
    </row>
    <row r="44">
      <c r="A44" s="8" t="inlineStr">
        <is>
          <t xml:space="preserve">Haushalt &amp; Essen</t>
        </is>
      </c>
      <c r="B44" s="11" t="inlineStr">
        <is>
          <t xml:space="preserve">Lebensmittel &amp; Getränke</t>
        </is>
      </c>
      <c r="C44" s="12"/>
      <c r="D44" s="11" t="inlineStr">
        <is>
          <t xml:space="preserve">monatlich</t>
        </is>
      </c>
      <c r="E44" s="11" t="inlineStr">
        <is>
          <t xml:space="preserve">gemeinsam</t>
        </is>
      </c>
      <c r="F44" s="13"/>
      <c r="G44" s="14">
        <f>IFERROR(C44*INDEX(Listen!$B$2:$B$6,MATCH(D44,Listen!$A$2:$A$6,0)),0)</f>
      </c>
      <c r="H44" s="14">
        <f>G44*12</f>
      </c>
      <c r="I44" s="14">
        <f>IF(E44="Simon",G44,IF(E44="Eliana",0,G44*'Übersicht'!$C$24))</f>
      </c>
      <c r="J44" s="14">
        <f>G44-I44</f>
      </c>
      <c r="K44" s="11" t="inlineStr">
        <is>
          <t xml:space="preserve">Lebensmittel</t>
        </is>
      </c>
    </row>
    <row r="45">
      <c r="A45" s="8" t="inlineStr">
        <is>
          <t xml:space="preserve">Haushalt &amp; Essen</t>
        </is>
      </c>
      <c r="B45" s="11" t="inlineStr">
        <is>
          <t xml:space="preserve">Auswärts essen</t>
        </is>
      </c>
      <c r="C45" s="12"/>
      <c r="D45" s="11" t="inlineStr">
        <is>
          <t xml:space="preserve">monatlich</t>
        </is>
      </c>
      <c r="E45" s="11" t="inlineStr">
        <is>
          <t xml:space="preserve">gemeinsam</t>
        </is>
      </c>
      <c r="F45" s="13"/>
      <c r="G45" s="14">
        <f>IFERROR(C45*INDEX(Listen!$B$2:$B$6,MATCH(D45,Listen!$A$2:$A$6,0)),0)</f>
      </c>
      <c r="H45" s="14">
        <f>G45*12</f>
      </c>
      <c r="I45" s="14">
        <f>IF(E45="Simon",G45,IF(E45="Eliana",0,G45*'Übersicht'!$C$24))</f>
      </c>
      <c r="J45" s="14">
        <f>G45-I45</f>
      </c>
      <c r="K45" s="11" t="inlineStr">
        <is>
          <t xml:space="preserve">Auswärts</t>
        </is>
      </c>
    </row>
    <row r="46">
      <c r="A46" s="8" t="inlineStr">
        <is>
          <t xml:space="preserve">Haushalt &amp; Essen</t>
        </is>
      </c>
      <c r="B46" s="11" t="inlineStr">
        <is>
          <t xml:space="preserve">Drogerie &amp; Haushaltartikel</t>
        </is>
      </c>
      <c r="C46" s="12"/>
      <c r="D46" s="11" t="inlineStr">
        <is>
          <t xml:space="preserve">monatlich</t>
        </is>
      </c>
      <c r="E46" s="11" t="inlineStr">
        <is>
          <t xml:space="preserve">gemeinsam</t>
        </is>
      </c>
      <c r="F46" s="13"/>
      <c r="G46" s="14">
        <f>IFERROR(C46*INDEX(Listen!$B$2:$B$6,MATCH(D46,Listen!$A$2:$A$6,0)),0)</f>
      </c>
      <c r="H46" s="14">
        <f>G46*12</f>
      </c>
      <c r="I46" s="14">
        <f>IF(E46="Simon",G46,IF(E46="Eliana",0,G46*'Übersicht'!$C$24))</f>
      </c>
      <c r="J46" s="14">
        <f>G46-I46</f>
      </c>
      <c r="K46" s="11"/>
    </row>
    <row r="47">
      <c r="A47" s="8" t="inlineStr">
        <is>
          <t xml:space="preserve">Haushalt &amp; Essen</t>
        </is>
      </c>
      <c r="B47" s="11"/>
      <c r="C47" s="12"/>
      <c r="D47" s="11" t="inlineStr">
        <is>
          <t xml:space="preserve">monatlich</t>
        </is>
      </c>
      <c r="E47" s="11" t="inlineStr">
        <is>
          <t xml:space="preserve">gemeinsam</t>
        </is>
      </c>
      <c r="F47" s="13"/>
      <c r="G47" s="14">
        <f>IFERROR(C47*INDEX(Listen!$B$2:$B$6,MATCH(D47,Listen!$A$2:$A$6,0)),0)</f>
      </c>
      <c r="H47" s="14">
        <f>G47*12</f>
      </c>
      <c r="I47" s="14">
        <f>IF(E47="Simon",G47,IF(E47="Eliana",0,G47*'Übersicht'!$C$24))</f>
      </c>
      <c r="J47" s="14">
        <f>G47-I47</f>
      </c>
      <c r="K47" s="11"/>
    </row>
    <row r="48">
      <c r="A48" s="8" t="inlineStr">
        <is>
          <t xml:space="preserve">Haushalt &amp; Essen</t>
        </is>
      </c>
      <c r="B48" s="11"/>
      <c r="C48" s="12"/>
      <c r="D48" s="11" t="inlineStr">
        <is>
          <t xml:space="preserve">monatlich</t>
        </is>
      </c>
      <c r="E48" s="11" t="inlineStr">
        <is>
          <t xml:space="preserve">gemeinsam</t>
        </is>
      </c>
      <c r="F48" s="13"/>
      <c r="G48" s="14">
        <f>IFERROR(C48*INDEX(Listen!$B$2:$B$6,MATCH(D48,Listen!$A$2:$A$6,0)),0)</f>
      </c>
      <c r="H48" s="14">
        <f>G48*12</f>
      </c>
      <c r="I48" s="14">
        <f>IF(E48="Simon",G48,IF(E48="Eliana",0,G48*'Übersicht'!$C$24))</f>
      </c>
      <c r="J48" s="14">
        <f>G48-I48</f>
      </c>
      <c r="K48" s="11"/>
    </row>
    <row r="49">
      <c r="A49" s="8" t="inlineStr">
        <is>
          <t xml:space="preserve">Haushalt &amp; Essen</t>
        </is>
      </c>
      <c r="B49" s="11"/>
      <c r="C49" s="12"/>
      <c r="D49" s="11" t="inlineStr">
        <is>
          <t xml:space="preserve">monatlich</t>
        </is>
      </c>
      <c r="E49" s="11" t="inlineStr">
        <is>
          <t xml:space="preserve">gemeinsam</t>
        </is>
      </c>
      <c r="F49" s="13"/>
      <c r="G49" s="14">
        <f>IFERROR(C49*INDEX(Listen!$B$2:$B$6,MATCH(D49,Listen!$A$2:$A$6,0)),0)</f>
      </c>
      <c r="H49" s="14">
        <f>G49*12</f>
      </c>
      <c r="I49" s="14">
        <f>IF(E49="Simon",G49,IF(E49="Eliana",0,G49*'Übersicht'!$C$24))</f>
      </c>
      <c r="J49" s="14">
        <f>G49-I49</f>
      </c>
      <c r="K49" s="11"/>
    </row>
    <row r="50">
      <c r="A50" s="6" t="inlineStr">
        <is>
          <t xml:space="preserve">Persönliches &amp; Freizeit</t>
        </is>
      </c>
      <c r="B50" s="26" t="inlineStr">
        <is>
          <t xml:space="preserve">Handy, Kleider, Coiffeur, Sport, Abos, Geschenke</t>
        </is>
      </c>
      <c r="C50" s="7"/>
      <c r="D50" s="7"/>
      <c r="E50" s="7"/>
      <c r="F50" s="7"/>
      <c r="G50" s="7"/>
      <c r="H50" s="7"/>
      <c r="I50" s="7"/>
      <c r="J50" s="7"/>
      <c r="K50" s="7"/>
    </row>
    <row r="51">
      <c r="A51" s="8" t="inlineStr">
        <is>
          <t xml:space="preserve">Persönliches &amp; Freizeit</t>
        </is>
      </c>
      <c r="B51" s="11" t="inlineStr">
        <is>
          <t xml:space="preserve">Handy-Abo Simon</t>
        </is>
      </c>
      <c r="C51" s="12"/>
      <c r="D51" s="11" t="inlineStr">
        <is>
          <t xml:space="preserve">monatlich</t>
        </is>
      </c>
      <c r="E51" s="11" t="inlineStr">
        <is>
          <t xml:space="preserve">Simon</t>
        </is>
      </c>
      <c r="F51" s="13"/>
      <c r="G51" s="14">
        <f>IFERROR(C51*INDEX(Listen!$B$2:$B$6,MATCH(D51,Listen!$A$2:$A$6,0)),0)</f>
      </c>
      <c r="H51" s="14">
        <f>G51*12</f>
      </c>
      <c r="I51" s="14">
        <f>IF(E51="Simon",G51,IF(E51="Eliana",0,G51*'Übersicht'!$C$24))</f>
      </c>
      <c r="J51" s="14">
        <f>G51-I51</f>
      </c>
      <c r="K51" s="11"/>
    </row>
    <row r="52">
      <c r="A52" s="8" t="inlineStr">
        <is>
          <t xml:space="preserve">Persönliches &amp; Freizeit</t>
        </is>
      </c>
      <c r="B52" s="11" t="inlineStr">
        <is>
          <t xml:space="preserve">Handy-Abo Eliana</t>
        </is>
      </c>
      <c r="C52" s="12"/>
      <c r="D52" s="11" t="inlineStr">
        <is>
          <t xml:space="preserve">monatlich</t>
        </is>
      </c>
      <c r="E52" s="11" t="inlineStr">
        <is>
          <t xml:space="preserve">Eliana</t>
        </is>
      </c>
      <c r="F52" s="13"/>
      <c r="G52" s="14">
        <f>IFERROR(C52*INDEX(Listen!$B$2:$B$6,MATCH(D52,Listen!$A$2:$A$6,0)),0)</f>
      </c>
      <c r="H52" s="14">
        <f>G52*12</f>
      </c>
      <c r="I52" s="14">
        <f>IF(E52="Simon",G52,IF(E52="Eliana",0,G52*'Übersicht'!$C$24))</f>
      </c>
      <c r="J52" s="14">
        <f>G52-I52</f>
      </c>
      <c r="K52" s="11"/>
    </row>
    <row r="53">
      <c r="A53" s="8" t="inlineStr">
        <is>
          <t xml:space="preserve">Persönliches &amp; Freizeit</t>
        </is>
      </c>
      <c r="B53" s="11" t="inlineStr">
        <is>
          <t xml:space="preserve">Kleider &amp; Schuhe</t>
        </is>
      </c>
      <c r="C53" s="12"/>
      <c r="D53" s="11" t="inlineStr">
        <is>
          <t xml:space="preserve">monatlich</t>
        </is>
      </c>
      <c r="E53" s="11" t="inlineStr">
        <is>
          <t xml:space="preserve">gemeinsam</t>
        </is>
      </c>
      <c r="F53" s="13"/>
      <c r="G53" s="14">
        <f>IFERROR(C53*INDEX(Listen!$B$2:$B$6,MATCH(D53,Listen!$A$2:$A$6,0)),0)</f>
      </c>
      <c r="H53" s="14">
        <f>G53*12</f>
      </c>
      <c r="I53" s="14">
        <f>IF(E53="Simon",G53,IF(E53="Eliana",0,G53*'Übersicht'!$C$24))</f>
      </c>
      <c r="J53" s="14">
        <f>G53-I53</f>
      </c>
      <c r="K53" s="11"/>
    </row>
    <row r="54">
      <c r="A54" s="8" t="inlineStr">
        <is>
          <t xml:space="preserve">Persönliches &amp; Freizeit</t>
        </is>
      </c>
      <c r="B54" s="11" t="inlineStr">
        <is>
          <t xml:space="preserve">Coiffeur &amp; Körperpflege</t>
        </is>
      </c>
      <c r="C54" s="12"/>
      <c r="D54" s="11" t="inlineStr">
        <is>
          <t xml:space="preserve">monatlich</t>
        </is>
      </c>
      <c r="E54" s="11" t="inlineStr">
        <is>
          <t xml:space="preserve">gemeinsam</t>
        </is>
      </c>
      <c r="F54" s="13"/>
      <c r="G54" s="14">
        <f>IFERROR(C54*INDEX(Listen!$B$2:$B$6,MATCH(D54,Listen!$A$2:$A$6,0)),0)</f>
      </c>
      <c r="H54" s="14">
        <f>G54*12</f>
      </c>
      <c r="I54" s="14">
        <f>IF(E54="Simon",G54,IF(E54="Eliana",0,G54*'Übersicht'!$C$24))</f>
      </c>
      <c r="J54" s="14">
        <f>G54-I54</f>
      </c>
      <c r="K54" s="11"/>
    </row>
    <row r="55">
      <c r="A55" s="8" t="inlineStr">
        <is>
          <t xml:space="preserve">Persönliches &amp; Freizeit</t>
        </is>
      </c>
      <c r="B55" s="11" t="inlineStr">
        <is>
          <t xml:space="preserve">Sport &amp; Fitness</t>
        </is>
      </c>
      <c r="C55" s="12"/>
      <c r="D55" s="11" t="inlineStr">
        <is>
          <t xml:space="preserve">monatlich</t>
        </is>
      </c>
      <c r="E55" s="11" t="inlineStr">
        <is>
          <t xml:space="preserve">gemeinsam</t>
        </is>
      </c>
      <c r="F55" s="13"/>
      <c r="G55" s="14">
        <f>IFERROR(C55*INDEX(Listen!$B$2:$B$6,MATCH(D55,Listen!$A$2:$A$6,0)),0)</f>
      </c>
      <c r="H55" s="14">
        <f>G55*12</f>
      </c>
      <c r="I55" s="14">
        <f>IF(E55="Simon",G55,IF(E55="Eliana",0,G55*'Übersicht'!$C$24))</f>
      </c>
      <c r="J55" s="14">
        <f>G55-I55</f>
      </c>
      <c r="K55" s="11"/>
    </row>
    <row r="56">
      <c r="A56" s="8" t="inlineStr">
        <is>
          <t xml:space="preserve">Persönliches &amp; Freizeit</t>
        </is>
      </c>
      <c r="B56" s="11" t="inlineStr">
        <is>
          <t xml:space="preserve">Streaming &amp; Abos</t>
        </is>
      </c>
      <c r="C56" s="12"/>
      <c r="D56" s="11" t="inlineStr">
        <is>
          <t xml:space="preserve">monatlich</t>
        </is>
      </c>
      <c r="E56" s="11" t="inlineStr">
        <is>
          <t xml:space="preserve">gemeinsam</t>
        </is>
      </c>
      <c r="F56" s="13"/>
      <c r="G56" s="14">
        <f>IFERROR(C56*INDEX(Listen!$B$2:$B$6,MATCH(D56,Listen!$A$2:$A$6,0)),0)</f>
      </c>
      <c r="H56" s="14">
        <f>G56*12</f>
      </c>
      <c r="I56" s="14">
        <f>IF(E56="Simon",G56,IF(E56="Eliana",0,G56*'Übersicht'!$C$24))</f>
      </c>
      <c r="J56" s="14">
        <f>G56-I56</f>
      </c>
      <c r="K56" s="11"/>
    </row>
    <row r="57">
      <c r="A57" s="8" t="inlineStr">
        <is>
          <t xml:space="preserve">Persönliches &amp; Freizeit</t>
        </is>
      </c>
      <c r="B57" s="11" t="inlineStr">
        <is>
          <t xml:space="preserve">Hobbys &amp; Ausgang</t>
        </is>
      </c>
      <c r="C57" s="12"/>
      <c r="D57" s="11" t="inlineStr">
        <is>
          <t xml:space="preserve">monatlich</t>
        </is>
      </c>
      <c r="E57" s="11" t="inlineStr">
        <is>
          <t xml:space="preserve">gemeinsam</t>
        </is>
      </c>
      <c r="F57" s="13"/>
      <c r="G57" s="14">
        <f>IFERROR(C57*INDEX(Listen!$B$2:$B$6,MATCH(D57,Listen!$A$2:$A$6,0)),0)</f>
      </c>
      <c r="H57" s="14">
        <f>G57*12</f>
      </c>
      <c r="I57" s="14">
        <f>IF(E57="Simon",G57,IF(E57="Eliana",0,G57*'Übersicht'!$C$24))</f>
      </c>
      <c r="J57" s="14">
        <f>G57-I57</f>
      </c>
      <c r="K57" s="11"/>
    </row>
    <row r="58">
      <c r="A58" s="8" t="inlineStr">
        <is>
          <t xml:space="preserve">Persönliches &amp; Freizeit</t>
        </is>
      </c>
      <c r="B58" s="11" t="inlineStr">
        <is>
          <t xml:space="preserve">Geschenke</t>
        </is>
      </c>
      <c r="C58" s="12"/>
      <c r="D58" s="11" t="inlineStr">
        <is>
          <t xml:space="preserve">jährlich</t>
        </is>
      </c>
      <c r="E58" s="11" t="inlineStr">
        <is>
          <t xml:space="preserve">gemeinsam</t>
        </is>
      </c>
      <c r="F58" s="13">
        <v>12</v>
      </c>
      <c r="G58" s="14">
        <f>IFERROR(C58*INDEX(Listen!$B$2:$B$6,MATCH(D58,Listen!$A$2:$A$6,0)),0)</f>
      </c>
      <c r="H58" s="14">
        <f>G58*12</f>
      </c>
      <c r="I58" s="14">
        <f>IF(E58="Simon",G58,IF(E58="Eliana",0,G58*'Übersicht'!$C$24))</f>
      </c>
      <c r="J58" s="14">
        <f>G58-I58</f>
      </c>
      <c r="K58" s="11"/>
    </row>
    <row r="59">
      <c r="A59" s="8" t="inlineStr">
        <is>
          <t xml:space="preserve">Persönliches &amp; Freizeit</t>
        </is>
      </c>
      <c r="B59" s="11"/>
      <c r="C59" s="12"/>
      <c r="D59" s="11" t="inlineStr">
        <is>
          <t xml:space="preserve">monatlich</t>
        </is>
      </c>
      <c r="E59" s="11" t="inlineStr">
        <is>
          <t xml:space="preserve">gemeinsam</t>
        </is>
      </c>
      <c r="F59" s="13"/>
      <c r="G59" s="14">
        <f>IFERROR(C59*INDEX(Listen!$B$2:$B$6,MATCH(D59,Listen!$A$2:$A$6,0)),0)</f>
      </c>
      <c r="H59" s="14">
        <f>G59*12</f>
      </c>
      <c r="I59" s="14">
        <f>IF(E59="Simon",G59,IF(E59="Eliana",0,G59*'Übersicht'!$C$24))</f>
      </c>
      <c r="J59" s="14">
        <f>G59-I59</f>
      </c>
      <c r="K59" s="11"/>
    </row>
    <row r="60">
      <c r="A60" s="8" t="inlineStr">
        <is>
          <t xml:space="preserve">Persönliches &amp; Freizeit</t>
        </is>
      </c>
      <c r="B60" s="11"/>
      <c r="C60" s="12"/>
      <c r="D60" s="11" t="inlineStr">
        <is>
          <t xml:space="preserve">monatlich</t>
        </is>
      </c>
      <c r="E60" s="11" t="inlineStr">
        <is>
          <t xml:space="preserve">gemeinsam</t>
        </is>
      </c>
      <c r="F60" s="13"/>
      <c r="G60" s="14">
        <f>IFERROR(C60*INDEX(Listen!$B$2:$B$6,MATCH(D60,Listen!$A$2:$A$6,0)),0)</f>
      </c>
      <c r="H60" s="14">
        <f>G60*12</f>
      </c>
      <c r="I60" s="14">
        <f>IF(E60="Simon",G60,IF(E60="Eliana",0,G60*'Übersicht'!$C$24))</f>
      </c>
      <c r="J60" s="14">
        <f>G60-I60</f>
      </c>
      <c r="K60" s="11"/>
    </row>
    <row r="61">
      <c r="A61" s="6" t="inlineStr">
        <is>
          <t xml:space="preserve">Rückstellungen</t>
        </is>
      </c>
      <c r="B61" s="26" t="inlineStr">
        <is>
          <t xml:space="preserve">Ferien, Zahnarzt und Franchise, Anschaffungen, Unvorhergesehenes</t>
        </is>
      </c>
      <c r="C61" s="7"/>
      <c r="D61" s="7"/>
      <c r="E61" s="7"/>
      <c r="F61" s="7"/>
      <c r="G61" s="7"/>
      <c r="H61" s="7"/>
      <c r="I61" s="7"/>
      <c r="J61" s="7"/>
      <c r="K61" s="7"/>
    </row>
    <row r="62">
      <c r="A62" s="8" t="inlineStr">
        <is>
          <t xml:space="preserve">Rückstellungen</t>
        </is>
      </c>
      <c r="B62" s="11" t="inlineStr">
        <is>
          <t xml:space="preserve">Ferien</t>
        </is>
      </c>
      <c r="C62" s="12"/>
      <c r="D62" s="11" t="inlineStr">
        <is>
          <t xml:space="preserve">jährlich</t>
        </is>
      </c>
      <c r="E62" s="11" t="inlineStr">
        <is>
          <t xml:space="preserve">gemeinsam</t>
        </is>
      </c>
      <c r="F62" s="13">
        <v>7</v>
      </c>
      <c r="G62" s="14">
        <f>IFERROR(C62*INDEX(Listen!$B$2:$B$6,MATCH(D62,Listen!$A$2:$A$6,0)),0)</f>
      </c>
      <c r="H62" s="14">
        <f>G62*12</f>
      </c>
      <c r="I62" s="14">
        <f>IF(E62="Simon",G62,IF(E62="Eliana",0,G62*'Übersicht'!$C$24))</f>
      </c>
      <c r="J62" s="14">
        <f>G62-I62</f>
      </c>
      <c r="K62" s="11"/>
    </row>
    <row r="63">
      <c r="A63" s="8" t="inlineStr">
        <is>
          <t xml:space="preserve">Rückstellungen</t>
        </is>
      </c>
      <c r="B63" s="11" t="inlineStr">
        <is>
          <t xml:space="preserve">Gesundheit: Franchise, Zahnarzt, Brille</t>
        </is>
      </c>
      <c r="C63" s="12"/>
      <c r="D63" s="11" t="inlineStr">
        <is>
          <t xml:space="preserve">jährlich</t>
        </is>
      </c>
      <c r="E63" s="11" t="inlineStr">
        <is>
          <t xml:space="preserve">gemeinsam</t>
        </is>
      </c>
      <c r="F63" s="13">
        <v>1</v>
      </c>
      <c r="G63" s="14">
        <f>IFERROR(C63*INDEX(Listen!$B$2:$B$6,MATCH(D63,Listen!$A$2:$A$6,0)),0)</f>
      </c>
      <c r="H63" s="14">
        <f>G63*12</f>
      </c>
      <c r="I63" s="14">
        <f>IF(E63="Simon",G63,IF(E63="Eliana",0,G63*'Übersicht'!$C$24))</f>
      </c>
      <c r="J63" s="14">
        <f>G63-I63</f>
      </c>
      <c r="K63" s="11"/>
    </row>
    <row r="64">
      <c r="A64" s="8" t="inlineStr">
        <is>
          <t xml:space="preserve">Rückstellungen</t>
        </is>
      </c>
      <c r="B64" s="11" t="inlineStr">
        <is>
          <t xml:space="preserve">Anschaffungen &amp; Ersatz</t>
        </is>
      </c>
      <c r="C64" s="12"/>
      <c r="D64" s="11" t="inlineStr">
        <is>
          <t xml:space="preserve">jährlich</t>
        </is>
      </c>
      <c r="E64" s="11" t="inlineStr">
        <is>
          <t xml:space="preserve">gemeinsam</t>
        </is>
      </c>
      <c r="F64" s="13">
        <v>11</v>
      </c>
      <c r="G64" s="14">
        <f>IFERROR(C64*INDEX(Listen!$B$2:$B$6,MATCH(D64,Listen!$A$2:$A$6,0)),0)</f>
      </c>
      <c r="H64" s="14">
        <f>G64*12</f>
      </c>
      <c r="I64" s="14">
        <f>IF(E64="Simon",G64,IF(E64="Eliana",0,G64*'Übersicht'!$C$24))</f>
      </c>
      <c r="J64" s="14">
        <f>G64-I64</f>
      </c>
      <c r="K64" s="11"/>
    </row>
    <row r="65">
      <c r="A65" s="8" t="inlineStr">
        <is>
          <t xml:space="preserve">Rückstellungen</t>
        </is>
      </c>
      <c r="B65" s="11" t="inlineStr">
        <is>
          <t xml:space="preserve">Unvorhergesehenes</t>
        </is>
      </c>
      <c r="C65" s="12"/>
      <c r="D65" s="11" t="inlineStr">
        <is>
          <t xml:space="preserve">monatlich</t>
        </is>
      </c>
      <c r="E65" s="11" t="inlineStr">
        <is>
          <t xml:space="preserve">gemeinsam</t>
        </is>
      </c>
      <c r="F65" s="13"/>
      <c r="G65" s="14">
        <f>IFERROR(C65*INDEX(Listen!$B$2:$B$6,MATCH(D65,Listen!$A$2:$A$6,0)),0)</f>
      </c>
      <c r="H65" s="14">
        <f>G65*12</f>
      </c>
      <c r="I65" s="14">
        <f>IF(E65="Simon",G65,IF(E65="Eliana",0,G65*'Übersicht'!$C$24))</f>
      </c>
      <c r="J65" s="14">
        <f>G65-I65</f>
      </c>
      <c r="K65" s="11"/>
    </row>
    <row r="66">
      <c r="A66" s="8" t="inlineStr">
        <is>
          <t xml:space="preserve">Rückstellungen</t>
        </is>
      </c>
      <c r="B66" s="11"/>
      <c r="C66" s="12"/>
      <c r="D66" s="11" t="inlineStr">
        <is>
          <t xml:space="preserve">monatlich</t>
        </is>
      </c>
      <c r="E66" s="11" t="inlineStr">
        <is>
          <t xml:space="preserve">gemeinsam</t>
        </is>
      </c>
      <c r="F66" s="13"/>
      <c r="G66" s="14">
        <f>IFERROR(C66*INDEX(Listen!$B$2:$B$6,MATCH(D66,Listen!$A$2:$A$6,0)),0)</f>
      </c>
      <c r="H66" s="14">
        <f>G66*12</f>
      </c>
      <c r="I66" s="14">
        <f>IF(E66="Simon",G66,IF(E66="Eliana",0,G66*'Übersicht'!$C$24))</f>
      </c>
      <c r="J66" s="14">
        <f>G66-I66</f>
      </c>
      <c r="K66" s="11"/>
    </row>
    <row r="67">
      <c r="A67" s="8" t="inlineStr">
        <is>
          <t xml:space="preserve">Rückstellungen</t>
        </is>
      </c>
      <c r="B67" s="11"/>
      <c r="C67" s="12"/>
      <c r="D67" s="11" t="inlineStr">
        <is>
          <t xml:space="preserve">monatlich</t>
        </is>
      </c>
      <c r="E67" s="11" t="inlineStr">
        <is>
          <t xml:space="preserve">gemeinsam</t>
        </is>
      </c>
      <c r="F67" s="13"/>
      <c r="G67" s="14">
        <f>IFERROR(C67*INDEX(Listen!$B$2:$B$6,MATCH(D67,Listen!$A$2:$A$6,0)),0)</f>
      </c>
      <c r="H67" s="14">
        <f>G67*12</f>
      </c>
      <c r="I67" s="14">
        <f>IF(E67="Simon",G67,IF(E67="Eliana",0,G67*'Übersicht'!$C$24))</f>
      </c>
      <c r="J67" s="14">
        <f>G67-I67</f>
      </c>
      <c r="K67" s="11"/>
    </row>
    <row r="68">
      <c r="A68" s="8" t="inlineStr">
        <is>
          <t xml:space="preserve">Rückstellungen</t>
        </is>
      </c>
      <c r="B68" s="11"/>
      <c r="C68" s="12"/>
      <c r="D68" s="11" t="inlineStr">
        <is>
          <t xml:space="preserve">monatlich</t>
        </is>
      </c>
      <c r="E68" s="11" t="inlineStr">
        <is>
          <t xml:space="preserve">gemeinsam</t>
        </is>
      </c>
      <c r="F68" s="13"/>
      <c r="G68" s="14">
        <f>IFERROR(C68*INDEX(Listen!$B$2:$B$6,MATCH(D68,Listen!$A$2:$A$6,0)),0)</f>
      </c>
      <c r="H68" s="14">
        <f>G68*12</f>
      </c>
      <c r="I68" s="14">
        <f>IF(E68="Simon",G68,IF(E68="Eliana",0,G68*'Übersicht'!$C$24))</f>
      </c>
      <c r="J68" s="14">
        <f>G68-I68</f>
      </c>
      <c r="K68" s="11"/>
    </row>
    <row r="69">
      <c r="A69" s="6" t="inlineStr">
        <is>
          <t xml:space="preserve">Sparen &amp; Vorsorge</t>
        </is>
      </c>
      <c r="B69" s="26" t="inlineStr">
        <is>
          <t xml:space="preserve">Sparkonto, Notgroschen, Säule 3a</t>
        </is>
      </c>
      <c r="C69" s="7"/>
      <c r="D69" s="7"/>
      <c r="E69" s="7"/>
      <c r="F69" s="7"/>
      <c r="G69" s="7"/>
      <c r="H69" s="7"/>
      <c r="I69" s="7"/>
      <c r="J69" s="7"/>
      <c r="K69" s="7"/>
    </row>
    <row r="70">
      <c r="A70" s="8" t="inlineStr">
        <is>
          <t xml:space="preserve">Sparen &amp; Vorsorge</t>
        </is>
      </c>
      <c r="B70" s="11" t="inlineStr">
        <is>
          <t xml:space="preserve">Sparkonto, Notgroschen</t>
        </is>
      </c>
      <c r="C70" s="12"/>
      <c r="D70" s="11" t="inlineStr">
        <is>
          <t xml:space="preserve">monatlich</t>
        </is>
      </c>
      <c r="E70" s="11" t="inlineStr">
        <is>
          <t xml:space="preserve">gemeinsam</t>
        </is>
      </c>
      <c r="F70" s="13"/>
      <c r="G70" s="14">
        <f>IFERROR(C70*INDEX(Listen!$B$2:$B$6,MATCH(D70,Listen!$A$2:$A$6,0)),0)</f>
      </c>
      <c r="H70" s="14">
        <f>G70*12</f>
      </c>
      <c r="I70" s="14">
        <f>IF(E70="Simon",G70,IF(E70="Eliana",0,G70*'Übersicht'!$C$24))</f>
      </c>
      <c r="J70" s="14">
        <f>G70-I70</f>
      </c>
      <c r="K70" s="11"/>
    </row>
    <row r="71">
      <c r="A71" s="8" t="inlineStr">
        <is>
          <t xml:space="preserve">Sparen &amp; Vorsorge</t>
        </is>
      </c>
      <c r="B71" s="11" t="inlineStr">
        <is>
          <t xml:space="preserve">Säule 3a Simon</t>
        </is>
      </c>
      <c r="C71" s="12"/>
      <c r="D71" s="11" t="inlineStr">
        <is>
          <t xml:space="preserve">jährlich</t>
        </is>
      </c>
      <c r="E71" s="11" t="inlineStr">
        <is>
          <t xml:space="preserve">Simon</t>
        </is>
      </c>
      <c r="F71" s="13">
        <v>12</v>
      </c>
      <c r="G71" s="14">
        <f>IFERROR(C71*INDEX(Listen!$B$2:$B$6,MATCH(D71,Listen!$A$2:$A$6,0)),0)</f>
      </c>
      <c r="H71" s="14">
        <f>G71*12</f>
      </c>
      <c r="I71" s="14">
        <f>IF(E71="Simon",G71,IF(E71="Eliana",0,G71*'Übersicht'!$C$24))</f>
      </c>
      <c r="J71" s="14">
        <f>G71-I71</f>
      </c>
      <c r="K71" s="11"/>
    </row>
    <row r="72">
      <c r="A72" s="8" t="inlineStr">
        <is>
          <t xml:space="preserve">Sparen &amp; Vorsorge</t>
        </is>
      </c>
      <c r="B72" s="11" t="inlineStr">
        <is>
          <t xml:space="preserve">Säule 3a Eliana</t>
        </is>
      </c>
      <c r="C72" s="12"/>
      <c r="D72" s="11" t="inlineStr">
        <is>
          <t xml:space="preserve">jährlich</t>
        </is>
      </c>
      <c r="E72" s="11" t="inlineStr">
        <is>
          <t xml:space="preserve">Eliana</t>
        </is>
      </c>
      <c r="F72" s="13">
        <v>12</v>
      </c>
      <c r="G72" s="14">
        <f>IFERROR(C72*INDEX(Listen!$B$2:$B$6,MATCH(D72,Listen!$A$2:$A$6,0)),0)</f>
      </c>
      <c r="H72" s="14">
        <f>G72*12</f>
      </c>
      <c r="I72" s="14">
        <f>IF(E72="Simon",G72,IF(E72="Eliana",0,G72*'Übersicht'!$C$24))</f>
      </c>
      <c r="J72" s="14">
        <f>G72-I72</f>
      </c>
      <c r="K72" s="11"/>
    </row>
    <row r="73">
      <c r="A73" s="8" t="inlineStr">
        <is>
          <t xml:space="preserve">Sparen &amp; Vorsorge</t>
        </is>
      </c>
      <c r="B73" s="11"/>
      <c r="C73" s="12"/>
      <c r="D73" s="11" t="inlineStr">
        <is>
          <t xml:space="preserve">monatlich</t>
        </is>
      </c>
      <c r="E73" s="11" t="inlineStr">
        <is>
          <t xml:space="preserve">gemeinsam</t>
        </is>
      </c>
      <c r="F73" s="13"/>
      <c r="G73" s="14">
        <f>IFERROR(C73*INDEX(Listen!$B$2:$B$6,MATCH(D73,Listen!$A$2:$A$6,0)),0)</f>
      </c>
      <c r="H73" s="14">
        <f>G73*12</f>
      </c>
      <c r="I73" s="14">
        <f>IF(E73="Simon",G73,IF(E73="Eliana",0,G73*'Übersicht'!$C$24))</f>
      </c>
      <c r="J73" s="14">
        <f>G73-I73</f>
      </c>
      <c r="K73" s="11"/>
    </row>
    <row r="74">
      <c r="A74" s="8" t="inlineStr">
        <is>
          <t xml:space="preserve">Sparen &amp; Vorsorge</t>
        </is>
      </c>
      <c r="B74" s="11"/>
      <c r="C74" s="12"/>
      <c r="D74" s="11" t="inlineStr">
        <is>
          <t xml:space="preserve">monatlich</t>
        </is>
      </c>
      <c r="E74" s="11" t="inlineStr">
        <is>
          <t xml:space="preserve">gemeinsam</t>
        </is>
      </c>
      <c r="F74" s="13"/>
      <c r="G74" s="14">
        <f>IFERROR(C74*INDEX(Listen!$B$2:$B$6,MATCH(D74,Listen!$A$2:$A$6,0)),0)</f>
      </c>
      <c r="H74" s="14">
        <f>G74*12</f>
      </c>
      <c r="I74" s="14">
        <f>IF(E74="Simon",G74,IF(E74="Eliana",0,G74*'Übersicht'!$C$24))</f>
      </c>
      <c r="J74" s="14">
        <f>G74-I74</f>
      </c>
      <c r="K74" s="11"/>
    </row>
    <row r="75">
      <c r="A75" s="8" t="inlineStr">
        <is>
          <t xml:space="preserve">Sparen &amp; Vorsorge</t>
        </is>
      </c>
      <c r="B75" s="11"/>
      <c r="C75" s="12"/>
      <c r="D75" s="11" t="inlineStr">
        <is>
          <t xml:space="preserve">monatlich</t>
        </is>
      </c>
      <c r="E75" s="11" t="inlineStr">
        <is>
          <t xml:space="preserve">gemeinsam</t>
        </is>
      </c>
      <c r="F75" s="13"/>
      <c r="G75" s="14">
        <f>IFERROR(C75*INDEX(Listen!$B$2:$B$6,MATCH(D75,Listen!$A$2:$A$6,0)),0)</f>
      </c>
      <c r="H75" s="14">
        <f>G75*12</f>
      </c>
      <c r="I75" s="14">
        <f>IF(E75="Simon",G75,IF(E75="Eliana",0,G75*'Übersicht'!$C$24))</f>
      </c>
      <c r="J75" s="14">
        <f>G75-I75</f>
      </c>
      <c r="K75" s="11"/>
    </row>
    <row r="77">
      <c r="B77" s="18" t="inlineStr">
        <is>
          <t xml:space="preserve">Kontrolle: Summe aller Posten pro Monat</t>
        </is>
      </c>
      <c r="G77" s="17">
        <f>SUM(G5:G75)</f>
      </c>
      <c r="I77" s="17">
        <f>SUM(I5:I75)</f>
      </c>
      <c r="J77" s="17">
        <f>SUM(J5:J75)</f>
      </c>
    </row>
  </sheetData>
  <dataValidations count="4">
    <dataValidation type="list" allowBlank="1" showErrorMessage="1" errorTitle="Auswahl" error="Bitte einen Wert aus der Liste wählen." sqref="D5:D300">
      <formula1>"monatlich,wöchentlich,vierteljährlich,halbjährlich,jährlich"</formula1>
    </dataValidation>
    <dataValidation type="list" allowBlank="1" showErrorMessage="1" errorTitle="Auswahl" error="Bitte einen Wert aus der Liste wählen." sqref="E5:E300">
      <formula1>"gemeinsam,Simon,Eliana"</formula1>
    </dataValidation>
    <dataValidation type="whole" allowBlank="1" showErrorMessage="1" errorTitle="Monat" error="Bitte eine Zahl von 1 bis 12 eingeben." sqref="F5:F300">
      <formula1>1</formula1>
      <formula2>12</formula2>
    </dataValidation>
    <dataValidation type="list" allowBlank="1" showErrorMessage="1" errorTitle="Auswahl" error="Bitte einen Wert aus der Liste wählen." sqref="K5:K300">
      <formula1>"Lebensmittel,Auswärts"</formula1>
    </dataValidation>
  </dataValidations>
  <pageMargins left="0.5" right="0.5" top="0.6" bottom="0.6" header="0.3" footer="0.3"/>
  <pageSetup paperSize="9" orientation="landscape" fitToWidth="1" fitToHeight="0"/>
  <headerFooter>
    <oddFooter>&amp;LBudget&amp;RSeite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78D6"/>
    <pageSetUpPr fitToPage="1"/>
  </sheetPr>
  <dimension ref="A1:N12"/>
  <sheetViews>
    <sheetView workbookViewId="0" showGridLines="0">
      <pane ySplit="5" topLeftCell="A6" activePane="bottomLeft" state="frozen"/>
      <selection pane="bottomLeft" activeCell="A6" sqref="A6"/>
    </sheetView>
  </sheetViews>
  <sheetFormatPr defaultRowHeight="15"/>
  <cols>
    <col min="1" max="1" width="40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  <col min="13" max="13" width="10.5" customWidth="1"/>
    <col min="14" max="14" width="12" customWidth="1"/>
  </cols>
  <sheetData>
    <row r="1" ht="24" customHeight="1">
      <c r="A1" s="1" t="inlineStr">
        <is>
          <t xml:space="preserve">Jahresplan – Geldflüsse pro Monat</t>
        </is>
      </c>
    </row>
    <row r="2">
      <c r="A2" s="2" t="inlineStr">
        <is>
          <t xml:space="preserve">Monatliche Posten jeden Monat, jährliche im Fälligkeitsmonat, halbjährliche alle 6, vierteljährliche alle 3 Monate ab dem Fälligkeitsmonat.</t>
        </is>
      </c>
    </row>
    <row r="4">
      <c r="A4" s="4"/>
      <c r="B4" s="23" t="inlineStr">
        <is>
          <t xml:space="preserve">Jan</t>
        </is>
      </c>
      <c r="C4" s="23" t="inlineStr">
        <is>
          <t xml:space="preserve">Feb</t>
        </is>
      </c>
      <c r="D4" s="23" t="inlineStr">
        <is>
          <t xml:space="preserve">Mär</t>
        </is>
      </c>
      <c r="E4" s="23" t="inlineStr">
        <is>
          <t xml:space="preserve">Apr</t>
        </is>
      </c>
      <c r="F4" s="23" t="inlineStr">
        <is>
          <t xml:space="preserve">Mai</t>
        </is>
      </c>
      <c r="G4" s="23" t="inlineStr">
        <is>
          <t xml:space="preserve">Jun</t>
        </is>
      </c>
      <c r="H4" s="23" t="inlineStr">
        <is>
          <t xml:space="preserve">Jul</t>
        </is>
      </c>
      <c r="I4" s="23" t="inlineStr">
        <is>
          <t xml:space="preserve">Aug</t>
        </is>
      </c>
      <c r="J4" s="23" t="inlineStr">
        <is>
          <t xml:space="preserve">Sep</t>
        </is>
      </c>
      <c r="K4" s="23" t="inlineStr">
        <is>
          <t xml:space="preserve">Okt</t>
        </is>
      </c>
      <c r="L4" s="23" t="inlineStr">
        <is>
          <t xml:space="preserve">Nov</t>
        </is>
      </c>
      <c r="M4" s="23" t="inlineStr">
        <is>
          <t xml:space="preserve">Dez</t>
        </is>
      </c>
      <c r="N4" s="23" t="inlineStr">
        <is>
          <t xml:space="preserve">Jahr</t>
        </is>
      </c>
    </row>
    <row r="5">
      <c r="A5" s="24" t="inlineStr">
        <is>
          <t xml:space="preserve">Monat Nr.</t>
        </is>
      </c>
      <c r="B5" s="24">
        <v>1</v>
      </c>
      <c r="C5" s="24">
        <v>2</v>
      </c>
      <c r="D5" s="24">
        <v>3</v>
      </c>
      <c r="E5" s="24">
        <v>4</v>
      </c>
      <c r="F5" s="24">
        <v>5</v>
      </c>
      <c r="G5" s="24">
        <v>6</v>
      </c>
      <c r="H5" s="24">
        <v>7</v>
      </c>
      <c r="I5" s="24">
        <v>8</v>
      </c>
      <c r="J5" s="24">
        <v>9</v>
      </c>
      <c r="K5" s="24">
        <v>10</v>
      </c>
      <c r="L5" s="24">
        <v>11</v>
      </c>
      <c r="M5" s="24">
        <v>12</v>
      </c>
    </row>
    <row r="6">
      <c r="A6" s="9" t="inlineStr">
        <is>
          <t xml:space="preserve">Einnahmen</t>
        </is>
      </c>
      <c r="B6" s="14">
        <f>SUMPRODUCT((Budget!$A$5:$A$300="Einnahmen")*(((Budget!$D$5:$D$300="monatlich")+(Budget!$D$5:$D$300="wöchentlich")*52/12)*Budget!$C$5:$C$300+((Budget!$D$5:$D$300="jährlich")*(Budget!$F$5:$F$300=B$5)+(Budget!$D$5:$D$300="halbjährlich")*(MOD(B$5-Budget!$F$5:$F$300,6)=0)+(Budget!$D$5:$D$300="vierteljährlich")*(MOD(B$5-Budget!$F$5:$F$300,3)=0))*Budget!$C$5:$C$300))</f>
      </c>
      <c r="C6" s="14">
        <f>SUMPRODUCT((Budget!$A$5:$A$300="Einnahmen")*(((Budget!$D$5:$D$300="monatlich")+(Budget!$D$5:$D$300="wöchentlich")*52/12)*Budget!$C$5:$C$300+((Budget!$D$5:$D$300="jährlich")*(Budget!$F$5:$F$300=C$5)+(Budget!$D$5:$D$300="halbjährlich")*(MOD(C$5-Budget!$F$5:$F$300,6)=0)+(Budget!$D$5:$D$300="vierteljährlich")*(MOD(C$5-Budget!$F$5:$F$300,3)=0))*Budget!$C$5:$C$300))</f>
      </c>
      <c r="D6" s="14">
        <f>SUMPRODUCT((Budget!$A$5:$A$300="Einnahmen")*(((Budget!$D$5:$D$300="monatlich")+(Budget!$D$5:$D$300="wöchentlich")*52/12)*Budget!$C$5:$C$300+((Budget!$D$5:$D$300="jährlich")*(Budget!$F$5:$F$300=D$5)+(Budget!$D$5:$D$300="halbjährlich")*(MOD(D$5-Budget!$F$5:$F$300,6)=0)+(Budget!$D$5:$D$300="vierteljährlich")*(MOD(D$5-Budget!$F$5:$F$300,3)=0))*Budget!$C$5:$C$300))</f>
      </c>
      <c r="E6" s="14">
        <f>SUMPRODUCT((Budget!$A$5:$A$300="Einnahmen")*(((Budget!$D$5:$D$300="monatlich")+(Budget!$D$5:$D$300="wöchentlich")*52/12)*Budget!$C$5:$C$300+((Budget!$D$5:$D$300="jährlich")*(Budget!$F$5:$F$300=E$5)+(Budget!$D$5:$D$300="halbjährlich")*(MOD(E$5-Budget!$F$5:$F$300,6)=0)+(Budget!$D$5:$D$300="vierteljährlich")*(MOD(E$5-Budget!$F$5:$F$300,3)=0))*Budget!$C$5:$C$300))</f>
      </c>
      <c r="F6" s="14">
        <f>SUMPRODUCT((Budget!$A$5:$A$300="Einnahmen")*(((Budget!$D$5:$D$300="monatlich")+(Budget!$D$5:$D$300="wöchentlich")*52/12)*Budget!$C$5:$C$300+((Budget!$D$5:$D$300="jährlich")*(Budget!$F$5:$F$300=F$5)+(Budget!$D$5:$D$300="halbjährlich")*(MOD(F$5-Budget!$F$5:$F$300,6)=0)+(Budget!$D$5:$D$300="vierteljährlich")*(MOD(F$5-Budget!$F$5:$F$300,3)=0))*Budget!$C$5:$C$300))</f>
      </c>
      <c r="G6" s="14">
        <f>SUMPRODUCT((Budget!$A$5:$A$300="Einnahmen")*(((Budget!$D$5:$D$300="monatlich")+(Budget!$D$5:$D$300="wöchentlich")*52/12)*Budget!$C$5:$C$300+((Budget!$D$5:$D$300="jährlich")*(Budget!$F$5:$F$300=G$5)+(Budget!$D$5:$D$300="halbjährlich")*(MOD(G$5-Budget!$F$5:$F$300,6)=0)+(Budget!$D$5:$D$300="vierteljährlich")*(MOD(G$5-Budget!$F$5:$F$300,3)=0))*Budget!$C$5:$C$300))</f>
      </c>
      <c r="H6" s="14">
        <f>SUMPRODUCT((Budget!$A$5:$A$300="Einnahmen")*(((Budget!$D$5:$D$300="monatlich")+(Budget!$D$5:$D$300="wöchentlich")*52/12)*Budget!$C$5:$C$300+((Budget!$D$5:$D$300="jährlich")*(Budget!$F$5:$F$300=H$5)+(Budget!$D$5:$D$300="halbjährlich")*(MOD(H$5-Budget!$F$5:$F$300,6)=0)+(Budget!$D$5:$D$300="vierteljährlich")*(MOD(H$5-Budget!$F$5:$F$300,3)=0))*Budget!$C$5:$C$300))</f>
      </c>
      <c r="I6" s="14">
        <f>SUMPRODUCT((Budget!$A$5:$A$300="Einnahmen")*(((Budget!$D$5:$D$300="monatlich")+(Budget!$D$5:$D$300="wöchentlich")*52/12)*Budget!$C$5:$C$300+((Budget!$D$5:$D$300="jährlich")*(Budget!$F$5:$F$300=I$5)+(Budget!$D$5:$D$300="halbjährlich")*(MOD(I$5-Budget!$F$5:$F$300,6)=0)+(Budget!$D$5:$D$300="vierteljährlich")*(MOD(I$5-Budget!$F$5:$F$300,3)=0))*Budget!$C$5:$C$300))</f>
      </c>
      <c r="J6" s="14">
        <f>SUMPRODUCT((Budget!$A$5:$A$300="Einnahmen")*(((Budget!$D$5:$D$300="monatlich")+(Budget!$D$5:$D$300="wöchentlich")*52/12)*Budget!$C$5:$C$300+((Budget!$D$5:$D$300="jährlich")*(Budget!$F$5:$F$300=J$5)+(Budget!$D$5:$D$300="halbjährlich")*(MOD(J$5-Budget!$F$5:$F$300,6)=0)+(Budget!$D$5:$D$300="vierteljährlich")*(MOD(J$5-Budget!$F$5:$F$300,3)=0))*Budget!$C$5:$C$300))</f>
      </c>
      <c r="K6" s="14">
        <f>SUMPRODUCT((Budget!$A$5:$A$300="Einnahmen")*(((Budget!$D$5:$D$300="monatlich")+(Budget!$D$5:$D$300="wöchentlich")*52/12)*Budget!$C$5:$C$300+((Budget!$D$5:$D$300="jährlich")*(Budget!$F$5:$F$300=K$5)+(Budget!$D$5:$D$300="halbjährlich")*(MOD(K$5-Budget!$F$5:$F$300,6)=0)+(Budget!$D$5:$D$300="vierteljährlich")*(MOD(K$5-Budget!$F$5:$F$300,3)=0))*Budget!$C$5:$C$300))</f>
      </c>
      <c r="L6" s="14">
        <f>SUMPRODUCT((Budget!$A$5:$A$300="Einnahmen")*(((Budget!$D$5:$D$300="monatlich")+(Budget!$D$5:$D$300="wöchentlich")*52/12)*Budget!$C$5:$C$300+((Budget!$D$5:$D$300="jährlich")*(Budget!$F$5:$F$300=L$5)+(Budget!$D$5:$D$300="halbjährlich")*(MOD(L$5-Budget!$F$5:$F$300,6)=0)+(Budget!$D$5:$D$300="vierteljährlich")*(MOD(L$5-Budget!$F$5:$F$300,3)=0))*Budget!$C$5:$C$300))</f>
      </c>
      <c r="M6" s="14">
        <f>SUMPRODUCT((Budget!$A$5:$A$300="Einnahmen")*(((Budget!$D$5:$D$300="monatlich")+(Budget!$D$5:$D$300="wöchentlich")*52/12)*Budget!$C$5:$C$300+((Budget!$D$5:$D$300="jährlich")*(Budget!$F$5:$F$300=M$5)+(Budget!$D$5:$D$300="halbjährlich")*(MOD(M$5-Budget!$F$5:$F$300,6)=0)+(Budget!$D$5:$D$300="vierteljährlich")*(MOD(M$5-Budget!$F$5:$F$300,3)=0))*Budget!$C$5:$C$300))</f>
      </c>
      <c r="N6" s="16">
        <f>SUM(B6:M6)</f>
      </c>
    </row>
    <row r="7">
      <c r="A7" s="9" t="inlineStr">
        <is>
          <t xml:space="preserve">Ausgaben (inkl. Rückstellungen und Sparen)</t>
        </is>
      </c>
      <c r="B7" s="14">
        <f>SUMPRODUCT((Budget!$A$5:$A$300&lt;&gt;"Einnahmen")*(Budget!$A$5:$A$300&lt;&gt;"")*(((Budget!$D$5:$D$300="monatlich")+(Budget!$D$5:$D$300="wöchentlich")*52/12)*Budget!$C$5:$C$300+((Budget!$D$5:$D$300="jährlich")*(Budget!$F$5:$F$300=B$5)+(Budget!$D$5:$D$300="halbjährlich")*(MOD(B$5-Budget!$F$5:$F$300,6)=0)+(Budget!$D$5:$D$300="vierteljährlich")*(MOD(B$5-Budget!$F$5:$F$300,3)=0))*Budget!$C$5:$C$300))</f>
      </c>
      <c r="C7" s="14">
        <f>SUMPRODUCT((Budget!$A$5:$A$300&lt;&gt;"Einnahmen")*(Budget!$A$5:$A$300&lt;&gt;"")*(((Budget!$D$5:$D$300="monatlich")+(Budget!$D$5:$D$300="wöchentlich")*52/12)*Budget!$C$5:$C$300+((Budget!$D$5:$D$300="jährlich")*(Budget!$F$5:$F$300=C$5)+(Budget!$D$5:$D$300="halbjährlich")*(MOD(C$5-Budget!$F$5:$F$300,6)=0)+(Budget!$D$5:$D$300="vierteljährlich")*(MOD(C$5-Budget!$F$5:$F$300,3)=0))*Budget!$C$5:$C$300))</f>
      </c>
      <c r="D7" s="14">
        <f>SUMPRODUCT((Budget!$A$5:$A$300&lt;&gt;"Einnahmen")*(Budget!$A$5:$A$300&lt;&gt;"")*(((Budget!$D$5:$D$300="monatlich")+(Budget!$D$5:$D$300="wöchentlich")*52/12)*Budget!$C$5:$C$300+((Budget!$D$5:$D$300="jährlich")*(Budget!$F$5:$F$300=D$5)+(Budget!$D$5:$D$300="halbjährlich")*(MOD(D$5-Budget!$F$5:$F$300,6)=0)+(Budget!$D$5:$D$300="vierteljährlich")*(MOD(D$5-Budget!$F$5:$F$300,3)=0))*Budget!$C$5:$C$300))</f>
      </c>
      <c r="E7" s="14">
        <f>SUMPRODUCT((Budget!$A$5:$A$300&lt;&gt;"Einnahmen")*(Budget!$A$5:$A$300&lt;&gt;"")*(((Budget!$D$5:$D$300="monatlich")+(Budget!$D$5:$D$300="wöchentlich")*52/12)*Budget!$C$5:$C$300+((Budget!$D$5:$D$300="jährlich")*(Budget!$F$5:$F$300=E$5)+(Budget!$D$5:$D$300="halbjährlich")*(MOD(E$5-Budget!$F$5:$F$300,6)=0)+(Budget!$D$5:$D$300="vierteljährlich")*(MOD(E$5-Budget!$F$5:$F$300,3)=0))*Budget!$C$5:$C$300))</f>
      </c>
      <c r="F7" s="14">
        <f>SUMPRODUCT((Budget!$A$5:$A$300&lt;&gt;"Einnahmen")*(Budget!$A$5:$A$300&lt;&gt;"")*(((Budget!$D$5:$D$300="monatlich")+(Budget!$D$5:$D$300="wöchentlich")*52/12)*Budget!$C$5:$C$300+((Budget!$D$5:$D$300="jährlich")*(Budget!$F$5:$F$300=F$5)+(Budget!$D$5:$D$300="halbjährlich")*(MOD(F$5-Budget!$F$5:$F$300,6)=0)+(Budget!$D$5:$D$300="vierteljährlich")*(MOD(F$5-Budget!$F$5:$F$300,3)=0))*Budget!$C$5:$C$300))</f>
      </c>
      <c r="G7" s="14">
        <f>SUMPRODUCT((Budget!$A$5:$A$300&lt;&gt;"Einnahmen")*(Budget!$A$5:$A$300&lt;&gt;"")*(((Budget!$D$5:$D$300="monatlich")+(Budget!$D$5:$D$300="wöchentlich")*52/12)*Budget!$C$5:$C$300+((Budget!$D$5:$D$300="jährlich")*(Budget!$F$5:$F$300=G$5)+(Budget!$D$5:$D$300="halbjährlich")*(MOD(G$5-Budget!$F$5:$F$300,6)=0)+(Budget!$D$5:$D$300="vierteljährlich")*(MOD(G$5-Budget!$F$5:$F$300,3)=0))*Budget!$C$5:$C$300))</f>
      </c>
      <c r="H7" s="14">
        <f>SUMPRODUCT((Budget!$A$5:$A$300&lt;&gt;"Einnahmen")*(Budget!$A$5:$A$300&lt;&gt;"")*(((Budget!$D$5:$D$300="monatlich")+(Budget!$D$5:$D$300="wöchentlich")*52/12)*Budget!$C$5:$C$300+((Budget!$D$5:$D$300="jährlich")*(Budget!$F$5:$F$300=H$5)+(Budget!$D$5:$D$300="halbjährlich")*(MOD(H$5-Budget!$F$5:$F$300,6)=0)+(Budget!$D$5:$D$300="vierteljährlich")*(MOD(H$5-Budget!$F$5:$F$300,3)=0))*Budget!$C$5:$C$300))</f>
      </c>
      <c r="I7" s="14">
        <f>SUMPRODUCT((Budget!$A$5:$A$300&lt;&gt;"Einnahmen")*(Budget!$A$5:$A$300&lt;&gt;"")*(((Budget!$D$5:$D$300="monatlich")+(Budget!$D$5:$D$300="wöchentlich")*52/12)*Budget!$C$5:$C$300+((Budget!$D$5:$D$300="jährlich")*(Budget!$F$5:$F$300=I$5)+(Budget!$D$5:$D$300="halbjährlich")*(MOD(I$5-Budget!$F$5:$F$300,6)=0)+(Budget!$D$5:$D$300="vierteljährlich")*(MOD(I$5-Budget!$F$5:$F$300,3)=0))*Budget!$C$5:$C$300))</f>
      </c>
      <c r="J7" s="14">
        <f>SUMPRODUCT((Budget!$A$5:$A$300&lt;&gt;"Einnahmen")*(Budget!$A$5:$A$300&lt;&gt;"")*(((Budget!$D$5:$D$300="monatlich")+(Budget!$D$5:$D$300="wöchentlich")*52/12)*Budget!$C$5:$C$300+((Budget!$D$5:$D$300="jährlich")*(Budget!$F$5:$F$300=J$5)+(Budget!$D$5:$D$300="halbjährlich")*(MOD(J$5-Budget!$F$5:$F$300,6)=0)+(Budget!$D$5:$D$300="vierteljährlich")*(MOD(J$5-Budget!$F$5:$F$300,3)=0))*Budget!$C$5:$C$300))</f>
      </c>
      <c r="K7" s="14">
        <f>SUMPRODUCT((Budget!$A$5:$A$300&lt;&gt;"Einnahmen")*(Budget!$A$5:$A$300&lt;&gt;"")*(((Budget!$D$5:$D$300="monatlich")+(Budget!$D$5:$D$300="wöchentlich")*52/12)*Budget!$C$5:$C$300+((Budget!$D$5:$D$300="jährlich")*(Budget!$F$5:$F$300=K$5)+(Budget!$D$5:$D$300="halbjährlich")*(MOD(K$5-Budget!$F$5:$F$300,6)=0)+(Budget!$D$5:$D$300="vierteljährlich")*(MOD(K$5-Budget!$F$5:$F$300,3)=0))*Budget!$C$5:$C$300))</f>
      </c>
      <c r="L7" s="14">
        <f>SUMPRODUCT((Budget!$A$5:$A$300&lt;&gt;"Einnahmen")*(Budget!$A$5:$A$300&lt;&gt;"")*(((Budget!$D$5:$D$300="monatlich")+(Budget!$D$5:$D$300="wöchentlich")*52/12)*Budget!$C$5:$C$300+((Budget!$D$5:$D$300="jährlich")*(Budget!$F$5:$F$300=L$5)+(Budget!$D$5:$D$300="halbjährlich")*(MOD(L$5-Budget!$F$5:$F$300,6)=0)+(Budget!$D$5:$D$300="vierteljährlich")*(MOD(L$5-Budget!$F$5:$F$300,3)=0))*Budget!$C$5:$C$300))</f>
      </c>
      <c r="M7" s="14">
        <f>SUMPRODUCT((Budget!$A$5:$A$300&lt;&gt;"Einnahmen")*(Budget!$A$5:$A$300&lt;&gt;"")*(((Budget!$D$5:$D$300="monatlich")+(Budget!$D$5:$D$300="wöchentlich")*52/12)*Budget!$C$5:$C$300+((Budget!$D$5:$D$300="jährlich")*(Budget!$F$5:$F$300=M$5)+(Budget!$D$5:$D$300="halbjährlich")*(MOD(M$5-Budget!$F$5:$F$300,6)=0)+(Budget!$D$5:$D$300="vierteljährlich")*(MOD(M$5-Budget!$F$5:$F$300,3)=0))*Budget!$C$5:$C$300))</f>
      </c>
      <c r="N7" s="16">
        <f>SUM(B7:M7)</f>
      </c>
    </row>
    <row r="8">
      <c r="A8" s="9" t="inlineStr">
        <is>
          <t xml:space="preserve">davon periodische Rechnungen</t>
        </is>
      </c>
      <c r="B8" s="28">
        <f>SUMPRODUCT((Budget!$A$5:$A$300&lt;&gt;"Einnahmen")*(Budget!$A$5:$A$300&lt;&gt;"")*((Budget!$D$5:$D$300="jährlich")*(Budget!$F$5:$F$300=B$5)+(Budget!$D$5:$D$300="halbjährlich")*(MOD(B$5-Budget!$F$5:$F$300,6)=0)+(Budget!$D$5:$D$300="vierteljährlich")*(MOD(B$5-Budget!$F$5:$F$300,3)=0))*Budget!$C$5:$C$300)</f>
      </c>
      <c r="C8" s="28">
        <f>SUMPRODUCT((Budget!$A$5:$A$300&lt;&gt;"Einnahmen")*(Budget!$A$5:$A$300&lt;&gt;"")*((Budget!$D$5:$D$300="jährlich")*(Budget!$F$5:$F$300=C$5)+(Budget!$D$5:$D$300="halbjährlich")*(MOD(C$5-Budget!$F$5:$F$300,6)=0)+(Budget!$D$5:$D$300="vierteljährlich")*(MOD(C$5-Budget!$F$5:$F$300,3)=0))*Budget!$C$5:$C$300)</f>
      </c>
      <c r="D8" s="28">
        <f>SUMPRODUCT((Budget!$A$5:$A$300&lt;&gt;"Einnahmen")*(Budget!$A$5:$A$300&lt;&gt;"")*((Budget!$D$5:$D$300="jährlich")*(Budget!$F$5:$F$300=D$5)+(Budget!$D$5:$D$300="halbjährlich")*(MOD(D$5-Budget!$F$5:$F$300,6)=0)+(Budget!$D$5:$D$300="vierteljährlich")*(MOD(D$5-Budget!$F$5:$F$300,3)=0))*Budget!$C$5:$C$300)</f>
      </c>
      <c r="E8" s="28">
        <f>SUMPRODUCT((Budget!$A$5:$A$300&lt;&gt;"Einnahmen")*(Budget!$A$5:$A$300&lt;&gt;"")*((Budget!$D$5:$D$300="jährlich")*(Budget!$F$5:$F$300=E$5)+(Budget!$D$5:$D$300="halbjährlich")*(MOD(E$5-Budget!$F$5:$F$300,6)=0)+(Budget!$D$5:$D$300="vierteljährlich")*(MOD(E$5-Budget!$F$5:$F$300,3)=0))*Budget!$C$5:$C$300)</f>
      </c>
      <c r="F8" s="28">
        <f>SUMPRODUCT((Budget!$A$5:$A$300&lt;&gt;"Einnahmen")*(Budget!$A$5:$A$300&lt;&gt;"")*((Budget!$D$5:$D$300="jährlich")*(Budget!$F$5:$F$300=F$5)+(Budget!$D$5:$D$300="halbjährlich")*(MOD(F$5-Budget!$F$5:$F$300,6)=0)+(Budget!$D$5:$D$300="vierteljährlich")*(MOD(F$5-Budget!$F$5:$F$300,3)=0))*Budget!$C$5:$C$300)</f>
      </c>
      <c r="G8" s="28">
        <f>SUMPRODUCT((Budget!$A$5:$A$300&lt;&gt;"Einnahmen")*(Budget!$A$5:$A$300&lt;&gt;"")*((Budget!$D$5:$D$300="jährlich")*(Budget!$F$5:$F$300=G$5)+(Budget!$D$5:$D$300="halbjährlich")*(MOD(G$5-Budget!$F$5:$F$300,6)=0)+(Budget!$D$5:$D$300="vierteljährlich")*(MOD(G$5-Budget!$F$5:$F$300,3)=0))*Budget!$C$5:$C$300)</f>
      </c>
      <c r="H8" s="28">
        <f>SUMPRODUCT((Budget!$A$5:$A$300&lt;&gt;"Einnahmen")*(Budget!$A$5:$A$300&lt;&gt;"")*((Budget!$D$5:$D$300="jährlich")*(Budget!$F$5:$F$300=H$5)+(Budget!$D$5:$D$300="halbjährlich")*(MOD(H$5-Budget!$F$5:$F$300,6)=0)+(Budget!$D$5:$D$300="vierteljährlich")*(MOD(H$5-Budget!$F$5:$F$300,3)=0))*Budget!$C$5:$C$300)</f>
      </c>
      <c r="I8" s="28">
        <f>SUMPRODUCT((Budget!$A$5:$A$300&lt;&gt;"Einnahmen")*(Budget!$A$5:$A$300&lt;&gt;"")*((Budget!$D$5:$D$300="jährlich")*(Budget!$F$5:$F$300=I$5)+(Budget!$D$5:$D$300="halbjährlich")*(MOD(I$5-Budget!$F$5:$F$300,6)=0)+(Budget!$D$5:$D$300="vierteljährlich")*(MOD(I$5-Budget!$F$5:$F$300,3)=0))*Budget!$C$5:$C$300)</f>
      </c>
      <c r="J8" s="28">
        <f>SUMPRODUCT((Budget!$A$5:$A$300&lt;&gt;"Einnahmen")*(Budget!$A$5:$A$300&lt;&gt;"")*((Budget!$D$5:$D$300="jährlich")*(Budget!$F$5:$F$300=J$5)+(Budget!$D$5:$D$300="halbjährlich")*(MOD(J$5-Budget!$F$5:$F$300,6)=0)+(Budget!$D$5:$D$300="vierteljährlich")*(MOD(J$5-Budget!$F$5:$F$300,3)=0))*Budget!$C$5:$C$300)</f>
      </c>
      <c r="K8" s="28">
        <f>SUMPRODUCT((Budget!$A$5:$A$300&lt;&gt;"Einnahmen")*(Budget!$A$5:$A$300&lt;&gt;"")*((Budget!$D$5:$D$300="jährlich")*(Budget!$F$5:$F$300=K$5)+(Budget!$D$5:$D$300="halbjährlich")*(MOD(K$5-Budget!$F$5:$F$300,6)=0)+(Budget!$D$5:$D$300="vierteljährlich")*(MOD(K$5-Budget!$F$5:$F$300,3)=0))*Budget!$C$5:$C$300)</f>
      </c>
      <c r="L8" s="28">
        <f>SUMPRODUCT((Budget!$A$5:$A$300&lt;&gt;"Einnahmen")*(Budget!$A$5:$A$300&lt;&gt;"")*((Budget!$D$5:$D$300="jährlich")*(Budget!$F$5:$F$300=L$5)+(Budget!$D$5:$D$300="halbjährlich")*(MOD(L$5-Budget!$F$5:$F$300,6)=0)+(Budget!$D$5:$D$300="vierteljährlich")*(MOD(L$5-Budget!$F$5:$F$300,3)=0))*Budget!$C$5:$C$300)</f>
      </c>
      <c r="M8" s="28">
        <f>SUMPRODUCT((Budget!$A$5:$A$300&lt;&gt;"Einnahmen")*(Budget!$A$5:$A$300&lt;&gt;"")*((Budget!$D$5:$D$300="jährlich")*(Budget!$F$5:$F$300=M$5)+(Budget!$D$5:$D$300="halbjährlich")*(MOD(M$5-Budget!$F$5:$F$300,6)=0)+(Budget!$D$5:$D$300="vierteljährlich")*(MOD(M$5-Budget!$F$5:$F$300,3)=0))*Budget!$C$5:$C$300)</f>
      </c>
      <c r="N8" s="16">
        <f>SUM(B8:M8)</f>
      </c>
    </row>
    <row r="9">
      <c r="A9" s="18" t="inlineStr">
        <is>
          <t xml:space="preserve">Saldo des Monats</t>
        </is>
      </c>
      <c r="B9" s="17">
        <f>B6-B7</f>
      </c>
      <c r="C9" s="17">
        <f>C6-C7</f>
      </c>
      <c r="D9" s="17">
        <f>D6-D7</f>
      </c>
      <c r="E9" s="17">
        <f>E6-E7</f>
      </c>
      <c r="F9" s="17">
        <f>F6-F7</f>
      </c>
      <c r="G9" s="17">
        <f>G6-G7</f>
      </c>
      <c r="H9" s="17">
        <f>H6-H7</f>
      </c>
      <c r="I9" s="17">
        <f>I6-I7</f>
      </c>
      <c r="J9" s="17">
        <f>J6-J7</f>
      </c>
      <c r="K9" s="17">
        <f>K6-K7</f>
      </c>
      <c r="L9" s="17">
        <f>L6-L7</f>
      </c>
      <c r="M9" s="17">
        <f>M6-M7</f>
      </c>
      <c r="N9" s="17">
        <f>SUM(B9:M9)</f>
      </c>
    </row>
    <row r="10">
      <c r="A10" s="10" t="inlineStr">
        <is>
          <t xml:space="preserve">Kumuliert seit Januar</t>
        </is>
      </c>
      <c r="B10" s="16">
        <f>B9</f>
      </c>
      <c r="C10" s="16">
        <f>B10+C9</f>
      </c>
      <c r="D10" s="16">
        <f>C10+D9</f>
      </c>
      <c r="E10" s="16">
        <f>D10+E9</f>
      </c>
      <c r="F10" s="16">
        <f>E10+F9</f>
      </c>
      <c r="G10" s="16">
        <f>F10+G9</f>
      </c>
      <c r="H10" s="16">
        <f>G10+H9</f>
      </c>
      <c r="I10" s="16">
        <f>H10+I9</f>
      </c>
      <c r="J10" s="16">
        <f>I10+J9</f>
      </c>
      <c r="K10" s="16">
        <f>J10+K9</f>
      </c>
      <c r="L10" s="16">
        <f>K10+L9</f>
      </c>
      <c r="M10" s="16">
        <f>L10+M9</f>
      </c>
      <c r="N10" s="17">
        <f>M10</f>
      </c>
    </row>
    <row r="12">
      <c r="A12" s="3" t="inlineStr">
        <is>
          <t xml:space="preserve">Rot = in diesem Monat geht mehr weg als reinkommt. Mit den monatlichen Rückstellungen (Blatt «Übersicht») wird das ausgeglichen.</t>
        </is>
      </c>
    </row>
  </sheetData>
  <conditionalFormatting sqref="B9:N10">
    <cfRule type="expression" dxfId="1" priority="1">
      <formula>B9&lt;0</formula>
    </cfRule>
  </conditionalFormatting>
  <pageMargins left="0.5" right="0.5" top="0.6" bottom="0.6" header="0.3" footer="0.3"/>
  <pageSetup paperSize="9" orientation="landscape" fitToWidth="1" fitToHeight="0"/>
  <headerFooter>
    <oddFooter>&amp;LJahresplan&amp;RSeite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B6834"/>
    <pageSetUpPr fitToPage="1"/>
  </sheetPr>
  <dimension ref="A1:I1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13" customWidth="1"/>
    <col min="5" max="5" width="14" customWidth="1"/>
    <col min="6" max="6" width="14" customWidth="1"/>
    <col min="7" max="7" width="13" customWidth="1"/>
    <col min="8" max="8" width="3" customWidth="1"/>
    <col min="9" max="9" width="44" customWidth="1"/>
  </cols>
  <sheetData>
    <row r="1" ht="24" customHeight="1">
      <c r="A1" s="1" t="inlineStr">
        <is>
          <t xml:space="preserve">Ist-Vergleich Essen</t>
        </is>
      </c>
    </row>
    <row r="2">
      <c r="A2" s="2" t="inlineStr">
        <is>
          <t xml:space="preserve">Budget kommt aus dem Blatt «Budget» (Spalte «Ist-Kategorie»). Ist-Werte eintragen oder aus der Haushaltskasse übernehmen.</t>
        </is>
      </c>
    </row>
    <row r="4" ht="30" customHeight="1">
      <c r="A4" s="4" t="inlineStr">
        <is>
          <t xml:space="preserve">Monat</t>
        </is>
      </c>
      <c r="B4" s="5" t="inlineStr">
        <is>
          <t xml:space="preserve">Budget Lebensmittel</t>
        </is>
      </c>
      <c r="C4" s="5" t="inlineStr">
        <is>
          <t xml:space="preserve">Ist Lebensmittel</t>
        </is>
      </c>
      <c r="D4" s="5" t="inlineStr">
        <is>
          <t xml:space="preserve">Differenz</t>
        </is>
      </c>
      <c r="E4" s="5" t="inlineStr">
        <is>
          <t xml:space="preserve">Budget Auswärts</t>
        </is>
      </c>
      <c r="F4" s="5" t="inlineStr">
        <is>
          <t xml:space="preserve">Ist Auswärts</t>
        </is>
      </c>
      <c r="G4" s="5" t="inlineStr">
        <is>
          <t xml:space="preserve">Differenz</t>
        </is>
      </c>
    </row>
    <row r="5">
      <c r="A5" s="9" t="inlineStr">
        <is>
          <t xml:space="preserve">Januar 2026</t>
        </is>
      </c>
      <c r="B5" s="14">
        <f>SUMIFS(Budget!$G$5:$G$300,Budget!$K$5:$K$300,"Lebensmittel")</f>
      </c>
      <c r="C5" s="12"/>
      <c r="D5" s="14">
        <f>IF(C5="","",B5-C5)</f>
      </c>
      <c r="E5" s="14">
        <f>SUMIFS(Budget!$G$5:$G$300,Budget!$K$5:$K$300,"Auswärts")</f>
      </c>
      <c r="F5" s="12"/>
      <c r="G5" s="14">
        <f>IF(F5="","",E5-F5)</f>
      </c>
    </row>
    <row r="6">
      <c r="A6" s="9" t="inlineStr">
        <is>
          <t xml:space="preserve">Februar 2026</t>
        </is>
      </c>
      <c r="B6" s="14">
        <f>SUMIFS(Budget!$G$5:$G$300,Budget!$K$5:$K$300,"Lebensmittel")</f>
      </c>
      <c r="C6" s="12"/>
      <c r="D6" s="14">
        <f>IF(C6="","",B6-C6)</f>
      </c>
      <c r="E6" s="14">
        <f>SUMIFS(Budget!$G$5:$G$300,Budget!$K$5:$K$300,"Auswärts")</f>
      </c>
      <c r="F6" s="12"/>
      <c r="G6" s="14">
        <f>IF(F6="","",E6-F6)</f>
      </c>
    </row>
    <row r="7">
      <c r="A7" s="9" t="inlineStr">
        <is>
          <t xml:space="preserve">März 2026</t>
        </is>
      </c>
      <c r="B7" s="14">
        <f>SUMIFS(Budget!$G$5:$G$300,Budget!$K$5:$K$300,"Lebensmittel")</f>
      </c>
      <c r="C7" s="12"/>
      <c r="D7" s="14">
        <f>IF(C7="","",B7-C7)</f>
      </c>
      <c r="E7" s="14">
        <f>SUMIFS(Budget!$G$5:$G$300,Budget!$K$5:$K$300,"Auswärts")</f>
      </c>
      <c r="F7" s="12"/>
      <c r="G7" s="14">
        <f>IF(F7="","",E7-F7)</f>
      </c>
    </row>
    <row r="8">
      <c r="A8" s="9" t="inlineStr">
        <is>
          <t xml:space="preserve">April 2026</t>
        </is>
      </c>
      <c r="B8" s="14">
        <f>SUMIFS(Budget!$G$5:$G$300,Budget!$K$5:$K$300,"Lebensmittel")</f>
      </c>
      <c r="C8" s="12"/>
      <c r="D8" s="14">
        <f>IF(C8="","",B8-C8)</f>
      </c>
      <c r="E8" s="14">
        <f>SUMIFS(Budget!$G$5:$G$300,Budget!$K$5:$K$300,"Auswärts")</f>
      </c>
      <c r="F8" s="12"/>
      <c r="G8" s="14">
        <f>IF(F8="","",E8-F8)</f>
      </c>
    </row>
    <row r="9">
      <c r="A9" s="9" t="inlineStr">
        <is>
          <t xml:space="preserve">Mai 2026</t>
        </is>
      </c>
      <c r="B9" s="14">
        <f>SUMIFS(Budget!$G$5:$G$300,Budget!$K$5:$K$300,"Lebensmittel")</f>
      </c>
      <c r="C9" s="12"/>
      <c r="D9" s="14">
        <f>IF(C9="","",B9-C9)</f>
      </c>
      <c r="E9" s="14">
        <f>SUMIFS(Budget!$G$5:$G$300,Budget!$K$5:$K$300,"Auswärts")</f>
      </c>
      <c r="F9" s="12"/>
      <c r="G9" s="14">
        <f>IF(F9="","",E9-F9)</f>
      </c>
    </row>
    <row r="10">
      <c r="A10" s="9" t="inlineStr">
        <is>
          <t xml:space="preserve">Juni 2026</t>
        </is>
      </c>
      <c r="B10" s="14">
        <f>SUMIFS(Budget!$G$5:$G$300,Budget!$K$5:$K$300,"Lebensmittel")</f>
      </c>
      <c r="C10" s="12"/>
      <c r="D10" s="14">
        <f>IF(C10="","",B10-C10)</f>
      </c>
      <c r="E10" s="14">
        <f>SUMIFS(Budget!$G$5:$G$300,Budget!$K$5:$K$300,"Auswärts")</f>
      </c>
      <c r="F10" s="12"/>
      <c r="G10" s="14">
        <f>IF(F10="","",E10-F10)</f>
      </c>
    </row>
    <row r="11">
      <c r="A11" s="9" t="inlineStr">
        <is>
          <t xml:space="preserve">Juli 2026</t>
        </is>
      </c>
      <c r="B11" s="14">
        <f>SUMIFS(Budget!$G$5:$G$300,Budget!$K$5:$K$300,"Lebensmittel")</f>
      </c>
      <c r="C11" s="12"/>
      <c r="D11" s="14">
        <f>IF(C11="","",B11-C11)</f>
      </c>
      <c r="E11" s="14">
        <f>SUMIFS(Budget!$G$5:$G$300,Budget!$K$5:$K$300,"Auswärts")</f>
      </c>
      <c r="F11" s="12"/>
      <c r="G11" s="14">
        <f>IF(F11="","",E11-F11)</f>
      </c>
    </row>
    <row r="12">
      <c r="A12" s="9" t="inlineStr">
        <is>
          <t xml:space="preserve">August 2026</t>
        </is>
      </c>
      <c r="B12" s="14">
        <f>SUMIFS(Budget!$G$5:$G$300,Budget!$K$5:$K$300,"Lebensmittel")</f>
      </c>
      <c r="C12" s="12"/>
      <c r="D12" s="14">
        <f>IF(C12="","",B12-C12)</f>
      </c>
      <c r="E12" s="14">
        <f>SUMIFS(Budget!$G$5:$G$300,Budget!$K$5:$K$300,"Auswärts")</f>
      </c>
      <c r="F12" s="12"/>
      <c r="G12" s="14">
        <f>IF(F12="","",E12-F12)</f>
      </c>
    </row>
    <row r="13">
      <c r="A13" s="9" t="inlineStr">
        <is>
          <t xml:space="preserve">September 2026</t>
        </is>
      </c>
      <c r="B13" s="14">
        <f>SUMIFS(Budget!$G$5:$G$300,Budget!$K$5:$K$300,"Lebensmittel")</f>
      </c>
      <c r="C13" s="12"/>
      <c r="D13" s="14">
        <f>IF(C13="","",B13-C13)</f>
      </c>
      <c r="E13" s="14">
        <f>SUMIFS(Budget!$G$5:$G$300,Budget!$K$5:$K$300,"Auswärts")</f>
      </c>
      <c r="F13" s="12"/>
      <c r="G13" s="14">
        <f>IF(F13="","",E13-F13)</f>
      </c>
    </row>
    <row r="14">
      <c r="A14" s="9" t="inlineStr">
        <is>
          <t xml:space="preserve">Oktober 2026</t>
        </is>
      </c>
      <c r="B14" s="14">
        <f>SUMIFS(Budget!$G$5:$G$300,Budget!$K$5:$K$300,"Lebensmittel")</f>
      </c>
      <c r="C14" s="12"/>
      <c r="D14" s="14">
        <f>IF(C14="","",B14-C14)</f>
      </c>
      <c r="E14" s="14">
        <f>SUMIFS(Budget!$G$5:$G$300,Budget!$K$5:$K$300,"Auswärts")</f>
      </c>
      <c r="F14" s="12"/>
      <c r="G14" s="14">
        <f>IF(F14="","",E14-F14)</f>
      </c>
    </row>
    <row r="15">
      <c r="A15" s="9" t="inlineStr">
        <is>
          <t xml:space="preserve">November 2026</t>
        </is>
      </c>
      <c r="B15" s="14">
        <f>SUMIFS(Budget!$G$5:$G$300,Budget!$K$5:$K$300,"Lebensmittel")</f>
      </c>
      <c r="C15" s="12"/>
      <c r="D15" s="14">
        <f>IF(C15="","",B15-C15)</f>
      </c>
      <c r="E15" s="14">
        <f>SUMIFS(Budget!$G$5:$G$300,Budget!$K$5:$K$300,"Auswärts")</f>
      </c>
      <c r="F15" s="12"/>
      <c r="G15" s="14">
        <f>IF(F15="","",E15-F15)</f>
      </c>
    </row>
    <row r="16">
      <c r="A16" s="9" t="inlineStr">
        <is>
          <t xml:space="preserve">Dezember 2026</t>
        </is>
      </c>
      <c r="B16" s="14">
        <f>SUMIFS(Budget!$G$5:$G$300,Budget!$K$5:$K$300,"Lebensmittel")</f>
      </c>
      <c r="C16" s="12"/>
      <c r="D16" s="14">
        <f>IF(C16="","",B16-C16)</f>
      </c>
      <c r="E16" s="14">
        <f>SUMIFS(Budget!$G$5:$G$300,Budget!$K$5:$K$300,"Auswärts")</f>
      </c>
      <c r="F16" s="12"/>
      <c r="G16" s="14">
        <f>IF(F16="","",E16-F16)</f>
      </c>
    </row>
    <row r="17">
      <c r="A17" s="18" t="inlineStr">
        <is>
          <t xml:space="preserve">Total</t>
        </is>
      </c>
      <c r="B17" s="17">
        <f>SUMPRODUCT((C5:C16&lt;&gt;"")*B5:B16)</f>
      </c>
      <c r="C17" s="17">
        <f>SUM(C5:C16)</f>
      </c>
      <c r="D17" s="17">
        <f>SUM(D5:D16)</f>
      </c>
      <c r="E17" s="17">
        <f>SUMPRODUCT((F5:F16&lt;&gt;"")*E5:E16)</f>
      </c>
      <c r="F17" s="17">
        <f>SUM(F5:F16)</f>
      </c>
      <c r="G17" s="17">
        <f>SUM(G5:G16)</f>
      </c>
      <c r="I17" s="3" t="inlineStr">
        <is>
          <t xml:space="preserve">Budget-Total zählt nur Monate mit Ist-Wert. Differenz positiv = unter Budget.</t>
        </is>
      </c>
    </row>
  </sheetData>
  <conditionalFormatting sqref="D5:D17 G5:G17">
    <cfRule type="expression" dxfId="1" priority="1">
      <formula>AND(ISNUMBER(D5),D5&lt;0)</formula>
    </cfRule>
  </conditionalFormatting>
  <conditionalFormatting sqref="D5:D17 G5:G17">
    <cfRule type="expression" dxfId="0" priority="2">
      <formula>AND(ISNUMBER(D5),D5&gt;=0)</formula>
    </cfRule>
  </conditionalFormatting>
  <pageMargins left="0.5" right="0.5" top="0.6" bottom="0.6" header="0.3" footer="0.3"/>
  <pageSetup paperSize="9" orientation="portrait" fitToWidth="1" fitToHeight="0"/>
  <headerFooter>
    <oddFooter>&amp;LIst-Vergleich&amp;RSeite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F7D75"/>
    <pageSetUpPr fitToPage="1"/>
  </sheetPr>
  <dimension ref="A1:G26"/>
  <sheetViews>
    <sheetView workbookViewId="0" showGridLines="0"/>
  </sheetViews>
  <sheetFormatPr defaultRowHeight="15"/>
  <cols>
    <col min="1" max="1" width="3" customWidth="1"/>
    <col min="2" max="2" width="30" customWidth="1"/>
    <col min="3" max="3" width="14" customWidth="1"/>
    <col min="4" max="4" width="15" customWidth="1"/>
    <col min="5" max="5" width="12" customWidth="1"/>
    <col min="6" max="6" width="10" customWidth="1"/>
    <col min="7" max="7" width="50" customWidth="1"/>
  </cols>
  <sheetData>
    <row r="1" ht="24" customHeight="1">
      <c r="B1" s="1" t="inlineStr">
        <is>
          <t xml:space="preserve">So funktioniert die Budget-Tabelle</t>
        </is>
      </c>
    </row>
    <row r="2">
      <c r="B2" s="2" t="inlineStr">
        <is>
          <t xml:space="preserve">Erstellt mit «Kasse unterwegs» am 13.10.2026</t>
        </is>
      </c>
    </row>
    <row r="4" ht="30" customHeight="1">
      <c r="B4" s="10" t="inlineStr">
        <is>
          <t xml:space="preserve">1. Blatt «Budget»</t>
        </is>
      </c>
      <c r="C4" s="3" t="inlineStr">
        <is>
          <t xml:space="preserve">Pro Posten Betrag, «Wie oft», «Wer» und bei jährlichen Rechnungen den Fälligkeitsmonat eintragen. Jahresbeträge (Steuern, Versicherungen) einfach als Jahresbetrag – umgerechnet wird automatisch.</t>
        </is>
      </c>
    </row>
    <row r="5" ht="30" customHeight="1">
      <c r="B5" s="10" t="inlineStr">
        <is>
          <t xml:space="preserve">2. Blatt «Übersicht»</t>
        </is>
      </c>
      <c r="C5" s="3" t="inlineStr">
        <is>
          <t xml:space="preserve">Zeigt Einnahmen, Ausgaben je Bereich, Sparen, was übrig bleibt, wer wie viel trägt und wie viel jede Person aufs gemeinsame Konto überweist.</t>
        </is>
      </c>
    </row>
    <row r="6" ht="30" customHeight="1">
      <c r="B6" s="10" t="inlineStr">
        <is>
          <t xml:space="preserve">3. Blatt «Jahresplan»</t>
        </is>
      </c>
      <c r="C6" s="3" t="inlineStr">
        <is>
          <t xml:space="preserve">Zeigt Monat für Monat, wann grosse Rechnungen fällig sind und ob das Geld reicht.</t>
        </is>
      </c>
    </row>
    <row r="7" ht="30" customHeight="1">
      <c r="B7" s="10" t="inlineStr">
        <is>
          <t xml:space="preserve">4. Blatt «Ist-Vergleich»</t>
        </is>
      </c>
      <c r="C7" s="3" t="inlineStr">
        <is>
          <t xml:space="preserve">Ist-Ausgaben für Lebensmittel und Auswärts essen pro Monat – aus der Haushaltskasse oder von Hand.</t>
        </is>
      </c>
    </row>
    <row r="8" ht="30" customHeight="1">
      <c r="B8" s="10" t="inlineStr">
        <is>
          <t xml:space="preserve">Fälligkeit</t>
        </is>
      </c>
      <c r="C8" s="3" t="inlineStr">
        <is>
          <t xml:space="preserve">Bei jährlichen, halbjährlichen und vierteljährlichen Posten den Monat (1–12) der ersten Rechnung eintragen – sonst fehlt die Rechnung im Jahresplan.</t>
        </is>
      </c>
    </row>
    <row r="9" ht="30" customHeight="1">
      <c r="B9" s="10" t="inlineStr">
        <is>
          <t xml:space="preserve">Neue Posten</t>
        </is>
      </c>
      <c r="C9" s="3" t="inlineStr">
        <is>
          <t xml:space="preserve">Innerhalb einer Gruppe eine Zeile einfügen und in Spalte A den Gruppennamen stehen lassen. Die Formeln decken die Zeilen 5 bis 300 ab.</t>
        </is>
      </c>
    </row>
    <row r="11">
      <c r="B11" s="4" t="inlineStr">
        <is>
          <t xml:space="preserve">Legende</t>
        </is>
      </c>
      <c r="C11" s="4"/>
      <c r="D11" s="4"/>
      <c r="E11" s="4"/>
      <c r="F11" s="4"/>
      <c r="G11" s="4"/>
    </row>
    <row r="12">
      <c r="B12" s="11" t="inlineStr">
        <is>
          <t xml:space="preserve">Eingabe</t>
        </is>
      </c>
      <c r="C12" s="9" t="inlineStr">
        <is>
          <t xml:space="preserve">Blaue Schrift auf Gelb: hier eintragen oder ändern.</t>
        </is>
      </c>
    </row>
    <row r="13">
      <c r="B13" s="25">
        <f>1234.5</f>
      </c>
      <c r="C13" s="9" t="inlineStr">
        <is>
          <t xml:space="preserve">Schwarze Schrift: Formel, rechnet selbst – nicht überschreiben.</t>
        </is>
      </c>
    </row>
    <row r="15">
      <c r="B15" s="4" t="inlineStr">
        <is>
          <t xml:space="preserve">Beispielzeile (so wird ein Posten ausgefüllt)</t>
        </is>
      </c>
      <c r="C15" s="4"/>
      <c r="D15" s="4"/>
      <c r="E15" s="4"/>
      <c r="F15" s="4"/>
      <c r="G15" s="4"/>
    </row>
    <row r="16">
      <c r="B16" s="10" t="inlineStr">
        <is>
          <t xml:space="preserve">Posten</t>
        </is>
      </c>
      <c r="C16" s="10" t="inlineStr">
        <is>
          <t xml:space="preserve">Betrag CHF</t>
        </is>
      </c>
      <c r="D16" s="10" t="inlineStr">
        <is>
          <t xml:space="preserve">Wie oft</t>
        </is>
      </c>
      <c r="E16" s="10" t="inlineStr">
        <is>
          <t xml:space="preserve">Wer</t>
        </is>
      </c>
      <c r="F16" s="10" t="inlineStr">
        <is>
          <t xml:space="preserve">Fällig</t>
        </is>
      </c>
      <c r="G16" s="10" t="inlineStr">
        <is>
          <t xml:space="preserve">Ergibt pro Monat</t>
        </is>
      </c>
    </row>
    <row r="17">
      <c r="B17" s="11" t="inlineStr">
        <is>
          <t xml:space="preserve">Steuern (Beispiel)</t>
        </is>
      </c>
      <c r="C17" s="12">
        <v>6000</v>
      </c>
      <c r="D17" s="11" t="inlineStr">
        <is>
          <t xml:space="preserve">jährlich</t>
        </is>
      </c>
      <c r="E17" s="11" t="inlineStr">
        <is>
          <t xml:space="preserve">gemeinsam</t>
        </is>
      </c>
      <c r="F17" s="13">
        <v>3</v>
      </c>
      <c r="G17" s="14">
        <f>C17/12</f>
      </c>
    </row>
    <row r="19">
      <c r="B19" s="4" t="inlineStr">
        <is>
          <t xml:space="preserve">Wie oft</t>
        </is>
      </c>
      <c r="C19" s="5" t="inlineStr">
        <is>
          <t xml:space="preserve">Faktor pro Monat</t>
        </is>
      </c>
      <c r="D19" s="4"/>
      <c r="E19" s="4"/>
      <c r="F19" s="4"/>
      <c r="G19" s="4"/>
    </row>
    <row r="20">
      <c r="B20" s="9" t="inlineStr">
        <is>
          <t xml:space="preserve">monatlich</t>
        </is>
      </c>
      <c r="C20" s="29">
        <f>Listen!B2</f>
      </c>
    </row>
    <row r="21">
      <c r="B21" s="9" t="inlineStr">
        <is>
          <t xml:space="preserve">wöchentlich</t>
        </is>
      </c>
      <c r="C21" s="29">
        <f>Listen!B3</f>
      </c>
    </row>
    <row r="22">
      <c r="B22" s="9" t="inlineStr">
        <is>
          <t xml:space="preserve">vierteljährlich</t>
        </is>
      </c>
      <c r="C22" s="29">
        <f>Listen!B4</f>
      </c>
    </row>
    <row r="23">
      <c r="B23" s="9" t="inlineStr">
        <is>
          <t xml:space="preserve">halbjährlich</t>
        </is>
      </c>
      <c r="C23" s="29">
        <f>Listen!B5</f>
      </c>
    </row>
    <row r="24">
      <c r="B24" s="9" t="inlineStr">
        <is>
          <t xml:space="preserve">jährlich</t>
        </is>
      </c>
      <c r="C24" s="29">
        <f>Listen!B6</f>
      </c>
    </row>
    <row r="26" ht="30" customHeight="1">
      <c r="B26" s="10" t="inlineStr">
        <is>
          <t xml:space="preserve">Hinweis</t>
        </is>
      </c>
      <c r="C26" s="3" t="inlineStr">
        <is>
          <t xml:space="preserve">Die Faustregeln in der Übersicht sind allgemeine Richtwerte. Für eine persönliche Budgetberatung: Budgetberatung Schweiz (budgetberatung.ch).</t>
        </is>
      </c>
    </row>
  </sheetData>
  <mergeCells count="9">
    <mergeCell ref="C4:G4"/>
    <mergeCell ref="C5:G5"/>
    <mergeCell ref="C6:G6"/>
    <mergeCell ref="C7:G7"/>
    <mergeCell ref="C8:G8"/>
    <mergeCell ref="C9:G9"/>
    <mergeCell ref="C12:G12"/>
    <mergeCell ref="C13:G13"/>
    <mergeCell ref="C26:G26"/>
  </mergeCells>
  <pageMargins left="0.5" right="0.5" top="0.6" bottom="0.6" header="0.3" footer="0.3"/>
  <pageSetup paperSize="9" orientation="portrait" fitToWidth="1" fitToHeight="0"/>
  <headerFooter>
    <oddFooter>&amp;LAnleitung&amp;RSeite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6"/>
  <sheetViews>
    <sheetView workbookViewId="0" showGridLines="0"/>
  </sheetViews>
  <sheetFormatPr defaultRowHeight="15"/>
  <cols>
    <col min="1" max="1" width="18" customWidth="1"/>
    <col min="2" max="2" width="16" customWidth="1"/>
    <col min="3" max="3" width="4" customWidth="1"/>
    <col min="4" max="4" width="14" customWidth="1"/>
    <col min="5" max="5" width="4" customWidth="1"/>
    <col min="6" max="6" width="16" customWidth="1"/>
  </cols>
  <sheetData>
    <row r="1">
      <c r="A1" s="4" t="inlineStr">
        <is>
          <t xml:space="preserve">Wie oft</t>
        </is>
      </c>
      <c r="B1" s="4" t="inlineStr">
        <is>
          <t xml:space="preserve">Faktor pro Monat</t>
        </is>
      </c>
    </row>
    <row r="2">
      <c r="A2" s="9" t="inlineStr">
        <is>
          <t xml:space="preserve">monatlich</t>
        </is>
      </c>
      <c r="B2" s="9">
        <f>1</f>
      </c>
    </row>
    <row r="3">
      <c r="A3" s="9" t="inlineStr">
        <is>
          <t xml:space="preserve">wöchentlich</t>
        </is>
      </c>
      <c r="B3" s="9">
        <f>52/12</f>
      </c>
    </row>
    <row r="4">
      <c r="A4" s="9" t="inlineStr">
        <is>
          <t xml:space="preserve">vierteljährlich</t>
        </is>
      </c>
      <c r="B4" s="9">
        <f>1/3</f>
      </c>
    </row>
    <row r="5">
      <c r="A5" s="9" t="inlineStr">
        <is>
          <t xml:space="preserve">halbjährlich</t>
        </is>
      </c>
      <c r="B5" s="9">
        <f>1/6</f>
      </c>
    </row>
    <row r="6">
      <c r="A6" s="9" t="inlineStr">
        <is>
          <t xml:space="preserve">jährlich</t>
        </is>
      </c>
      <c r="B6" s="9">
        <f>1/12</f>
      </c>
    </row>
  </sheetData>
  <pageMargins left="0.5" right="0.5" top="0.6" bottom="0.6" header="0.3" footer="0.3"/>
  <pageSetup paperSize="9" orientation="portrait" fitToWidth="1" fitToHeight="0"/>
  <headerFooter>
    <oddFooter>&amp;LListen&amp;RSeite &amp;P von &amp;N</oddFooter>
  </headerFooter>
</worksheet>
</file>

<file path=docProps/app.xml><?xml version="1.0" encoding="utf-8"?>
<Properties xmlns="http://schemas.openxmlformats.org/officeDocument/2006/extended-properties">
  <Application>Kasse unterwegs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Haushaltsbudget Simon &amp; Eliana</dc:title>
  <dc:creator>Kasse unterwegs</dc:creator>
  <dcterms:created xsi:type="dcterms:W3CDTF">2026-10-13T14:53:15Z</dcterms:created>
  <dcterms:modified xsi:type="dcterms:W3CDTF">2026-10-13T14:53:15Z</dcterms:modified>
</cp:coreProperties>
</file>